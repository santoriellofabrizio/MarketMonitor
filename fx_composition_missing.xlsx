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AFMachineLearning\Libraries\MarketMonitor\"/>
    </mc:Choice>
  </mc:AlternateContent>
  <xr:revisionPtr revIDLastSave="0" documentId="13_ncr:1_{85F26B38-5425-449E-9D99-2BC9F51B7FF6}" xr6:coauthVersionLast="47" xr6:coauthVersionMax="47" xr10:uidLastSave="{00000000-0000-0000-0000-000000000000}"/>
  <bookViews>
    <workbookView minimized="1" xWindow="10650" yWindow="4950" windowWidth="18330" windowHeight="166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 a="1"/>
  <c r="G9" i="1"/>
  <c r="G8" i="1" a="1"/>
  <c r="G8" i="1"/>
  <c r="G57" i="1" a="1"/>
  <c r="G57" i="1"/>
  <c r="G56" i="1" a="1"/>
  <c r="G56" i="1"/>
  <c r="G53" i="1" a="1"/>
  <c r="G53" i="1"/>
  <c r="G47" i="1" a="1"/>
  <c r="G47" i="1"/>
  <c r="G46" i="1" a="1"/>
  <c r="G46" i="1"/>
  <c r="G44" i="1" a="1"/>
  <c r="G44" i="1"/>
  <c r="F34" i="1" a="1"/>
  <c r="F34" i="1"/>
  <c r="F38" i="1" a="1"/>
  <c r="F38" i="1"/>
  <c r="F43" i="1" a="1"/>
  <c r="F43" i="1"/>
  <c r="F14" i="1" a="1"/>
  <c r="F14" i="1"/>
  <c r="F4" i="1" a="1"/>
  <c r="F4" i="1"/>
  <c r="F22" i="1" a="1"/>
  <c r="F22" i="1"/>
  <c r="F29" i="1" a="1"/>
  <c r="F29" i="1"/>
  <c r="F48" i="1" a="1"/>
  <c r="F48" i="1"/>
  <c r="F9" i="1" a="1"/>
  <c r="F9" i="1"/>
  <c r="F32" i="1" a="1"/>
  <c r="F32" i="1"/>
  <c r="F21" i="1" a="1"/>
  <c r="F21" i="1"/>
  <c r="F3" i="1" a="1"/>
  <c r="F3" i="1"/>
  <c r="F47" i="1" a="1"/>
  <c r="F47" i="1"/>
  <c r="F20" i="1" a="1"/>
  <c r="F20" i="1"/>
  <c r="F42" i="1" a="1"/>
  <c r="F42" i="1"/>
  <c r="F10" i="1" a="1"/>
  <c r="F10" i="1"/>
  <c r="F37" i="1" a="1"/>
  <c r="F37" i="1"/>
  <c r="F56" i="1" a="1"/>
  <c r="F56" i="1"/>
  <c r="F45" i="1" a="1"/>
  <c r="F45" i="1"/>
  <c r="F50" i="1" a="1"/>
  <c r="F50" i="1"/>
  <c r="F8" i="1" a="1"/>
  <c r="F8" i="1"/>
  <c r="F54" i="1" a="1"/>
  <c r="F54" i="1"/>
  <c r="F17" i="1" a="1"/>
  <c r="F17" i="1"/>
  <c r="F5" i="1" a="1"/>
  <c r="F5" i="1"/>
  <c r="F41" i="1" a="1"/>
  <c r="F41" i="1"/>
  <c r="F23" i="1" a="1"/>
  <c r="F23" i="1"/>
  <c r="F49" i="1" a="1"/>
  <c r="F49" i="1"/>
  <c r="F15" i="1" a="1"/>
  <c r="F15" i="1"/>
  <c r="F35" i="1" a="1"/>
  <c r="F35" i="1"/>
  <c r="F24" i="1" a="1"/>
  <c r="F24" i="1"/>
  <c r="F16" i="1" a="1"/>
  <c r="F16" i="1"/>
  <c r="F33" i="1" a="1"/>
  <c r="F33" i="1"/>
  <c r="F18" i="1" a="1"/>
  <c r="F18" i="1"/>
  <c r="F25" i="1" a="1"/>
  <c r="F25" i="1"/>
  <c r="F13" i="1" a="1"/>
  <c r="F13" i="1"/>
  <c r="F39" i="1" a="1"/>
  <c r="F39" i="1"/>
  <c r="F51" i="1" a="1"/>
  <c r="F51" i="1"/>
  <c r="F27" i="1" a="1"/>
  <c r="F27" i="1"/>
  <c r="F40" i="1" a="1"/>
  <c r="F40" i="1"/>
  <c r="G7" i="1" a="1"/>
  <c r="G7" i="1"/>
  <c r="G4" i="1" a="1"/>
  <c r="G4" i="1"/>
  <c r="G26" i="1" a="1"/>
  <c r="G26" i="1"/>
  <c r="G22" i="1" a="1"/>
  <c r="G22" i="1"/>
  <c r="G20" i="1" a="1"/>
  <c r="G20" i="1"/>
  <c r="G15" i="1" a="1"/>
  <c r="G15" i="1"/>
  <c r="G14" i="1" a="1"/>
  <c r="G14" i="1"/>
  <c r="G6" i="1" a="1"/>
  <c r="G6" i="1"/>
  <c r="G5" i="1" a="1"/>
  <c r="G5" i="1"/>
  <c r="F58" i="1" a="1"/>
  <c r="F58" i="1"/>
  <c r="F30" i="1" a="1"/>
  <c r="F30" i="1"/>
  <c r="F46" i="1" a="1"/>
  <c r="F46" i="1"/>
  <c r="F19" i="1" a="1"/>
  <c r="F19" i="1"/>
  <c r="G58" i="1" a="1"/>
  <c r="G58" i="1"/>
  <c r="G52" i="1" a="1"/>
  <c r="G52" i="1"/>
  <c r="G51" i="1" a="1"/>
  <c r="G51" i="1"/>
  <c r="G50" i="1" a="1"/>
  <c r="G50" i="1"/>
  <c r="G49" i="1" a="1"/>
  <c r="G49" i="1"/>
  <c r="G48" i="1" a="1"/>
  <c r="G48" i="1"/>
  <c r="G45" i="1" a="1"/>
  <c r="G45" i="1"/>
  <c r="G42" i="1" a="1"/>
  <c r="G42" i="1"/>
  <c r="G41" i="1" a="1"/>
  <c r="G41" i="1"/>
  <c r="G40" i="1" a="1"/>
  <c r="G40" i="1"/>
  <c r="G38" i="1" a="1"/>
  <c r="G38" i="1"/>
  <c r="G37" i="1" a="1"/>
  <c r="G37" i="1"/>
  <c r="G36" i="1" a="1"/>
  <c r="G36" i="1"/>
  <c r="G31" i="1" a="1"/>
  <c r="G31" i="1"/>
  <c r="G29" i="1" a="1"/>
  <c r="G29" i="1"/>
  <c r="G54" i="1" a="1"/>
  <c r="G54" i="1"/>
  <c r="G27" i="1" a="1"/>
  <c r="G27" i="1"/>
  <c r="F28" i="1" a="1"/>
  <c r="F28" i="1"/>
  <c r="F26" i="1" a="1"/>
  <c r="F26" i="1"/>
  <c r="G55" i="1" a="1"/>
  <c r="G55" i="1"/>
  <c r="F36" i="1" a="1"/>
  <c r="F36" i="1"/>
  <c r="F57" i="1" a="1"/>
  <c r="F57" i="1"/>
  <c r="G30" i="1" a="1"/>
  <c r="G30" i="1"/>
  <c r="G21" i="1" a="1"/>
  <c r="G21" i="1"/>
  <c r="G19" i="1" a="1"/>
  <c r="G19" i="1"/>
  <c r="G17" i="1" a="1"/>
  <c r="G17" i="1"/>
  <c r="G13" i="1" a="1"/>
  <c r="G13" i="1"/>
  <c r="G43" i="1" a="1"/>
  <c r="G43" i="1"/>
  <c r="G39" i="1" a="1"/>
  <c r="G39" i="1"/>
  <c r="G35" i="1" a="1"/>
  <c r="G35" i="1"/>
  <c r="G34" i="1" a="1"/>
  <c r="G34" i="1"/>
  <c r="G33" i="1" a="1"/>
  <c r="G33" i="1"/>
  <c r="G32" i="1" a="1"/>
  <c r="G32" i="1"/>
  <c r="G28" i="1" a="1"/>
  <c r="G28" i="1"/>
  <c r="G12" i="1" a="1"/>
  <c r="G12" i="1"/>
  <c r="G10" i="1" a="1"/>
  <c r="G10" i="1"/>
  <c r="F12" i="1" a="1"/>
  <c r="F12" i="1"/>
  <c r="G16" i="1" a="1"/>
  <c r="G16" i="1"/>
  <c r="F31" i="1" a="1"/>
  <c r="F31" i="1"/>
  <c r="F52" i="1" a="1"/>
  <c r="F52" i="1"/>
  <c r="F6" i="1" a="1"/>
  <c r="F6" i="1"/>
  <c r="F7" i="1" a="1"/>
  <c r="F7" i="1"/>
  <c r="G11" i="1" a="1"/>
  <c r="G11" i="1"/>
  <c r="F55" i="1" a="1"/>
  <c r="F55" i="1"/>
  <c r="F44" i="1" a="1"/>
  <c r="F44" i="1"/>
  <c r="F53" i="1" a="1"/>
  <c r="F53" i="1"/>
  <c r="F11" i="1" a="1"/>
  <c r="F11" i="1"/>
  <c r="F2" i="1" a="1"/>
  <c r="F2" i="1"/>
  <c r="G2" i="1" a="1"/>
  <c r="G2" i="1"/>
  <c r="G3" i="1" a="1"/>
  <c r="G25" i="1" a="1"/>
  <c r="G18" i="1" a="1"/>
  <c r="G24" i="1" a="1"/>
  <c r="G23" i="1" a="1"/>
  <c r="B51" i="1" a="1"/>
  <c r="G23" i="1" l="1"/>
  <c r="G24" i="1"/>
  <c r="G18" i="1"/>
  <c r="G25" i="1"/>
  <c r="G3" i="1"/>
  <c r="B51" i="1"/>
  <c r="B38" i="1" a="1"/>
  <c r="B38" i="1"/>
  <c r="B17" i="1" a="1"/>
  <c r="B17" i="1"/>
  <c r="B57" i="1" a="1"/>
  <c r="B57" i="1"/>
  <c r="B44" i="1" a="1"/>
  <c r="B44" i="1"/>
  <c r="B41" i="1" a="1"/>
  <c r="B41" i="1"/>
  <c r="B31" i="1" a="1"/>
  <c r="B31" i="1"/>
  <c r="B27" i="1" a="1"/>
  <c r="B27" i="1"/>
  <c r="B13" i="1" a="1"/>
  <c r="B13" i="1"/>
  <c r="B25" i="1" a="1"/>
  <c r="B25" i="1"/>
  <c r="B20" i="1" a="1"/>
  <c r="B20" i="1"/>
  <c r="B14" i="1" a="1"/>
  <c r="B14" i="1"/>
  <c r="B3" i="1" a="1"/>
  <c r="B3" i="1"/>
  <c r="B7" i="1" a="1"/>
  <c r="B7" i="1"/>
  <c r="B35" i="1" a="1"/>
  <c r="B35" i="1"/>
  <c r="B23" i="1" a="1"/>
  <c r="B23" i="1"/>
  <c r="B34" i="1" a="1"/>
  <c r="B34" i="1"/>
  <c r="B49" i="1" a="1"/>
  <c r="B49" i="1"/>
  <c r="B18" i="1" a="1"/>
  <c r="B18" i="1"/>
  <c r="B28" i="1" a="1"/>
  <c r="B28" i="1"/>
  <c r="B36" i="1" a="1"/>
  <c r="B36" i="1"/>
  <c r="B43" i="1" a="1"/>
  <c r="B43" i="1"/>
  <c r="B32" i="1" a="1"/>
  <c r="B32" i="1"/>
  <c r="B54" i="1" a="1"/>
  <c r="B54" i="1"/>
  <c r="B56" i="1" a="1"/>
  <c r="B56" i="1"/>
  <c r="B8" i="1" a="1"/>
  <c r="B8" i="1"/>
  <c r="B15" i="1" a="1"/>
  <c r="B15" i="1"/>
  <c r="B26" i="1" a="1"/>
  <c r="B26" i="1"/>
  <c r="B40" i="1" a="1"/>
  <c r="B40" i="1"/>
  <c r="B29" i="1" a="1"/>
  <c r="B29" i="1"/>
  <c r="B53" i="1" a="1"/>
  <c r="B53" i="1"/>
  <c r="B4" i="1" a="1"/>
  <c r="B4" i="1"/>
  <c r="B50" i="1" a="1"/>
  <c r="B50" i="1"/>
  <c r="B10" i="1" a="1"/>
  <c r="B10" i="1"/>
  <c r="B12" i="1" a="1"/>
  <c r="B12" i="1"/>
  <c r="B30" i="1" a="1"/>
  <c r="B30" i="1"/>
  <c r="B55" i="1" a="1"/>
  <c r="B55" i="1"/>
  <c r="B39" i="1" a="1"/>
  <c r="B39" i="1"/>
  <c r="B9" i="1" a="1"/>
  <c r="B9" i="1"/>
  <c r="B6" i="1" a="1"/>
  <c r="B6" i="1"/>
  <c r="B58" i="1" a="1"/>
  <c r="B58" i="1"/>
  <c r="B19" i="1" a="1"/>
  <c r="B19" i="1"/>
  <c r="B46" i="1" a="1"/>
  <c r="B46" i="1"/>
  <c r="B22" i="1" a="1"/>
  <c r="B22" i="1"/>
  <c r="B16" i="1" a="1"/>
  <c r="B16" i="1"/>
  <c r="B21" i="1" a="1"/>
  <c r="B21" i="1"/>
  <c r="B48" i="1" a="1"/>
  <c r="B48" i="1"/>
  <c r="B52" i="1" a="1"/>
  <c r="B52" i="1"/>
  <c r="B5" i="1" a="1"/>
  <c r="B5" i="1"/>
  <c r="B11" i="1" a="1"/>
  <c r="B11" i="1"/>
  <c r="B47" i="1" a="1"/>
  <c r="B47" i="1"/>
  <c r="B24" i="1" a="1"/>
  <c r="B24" i="1"/>
  <c r="B37" i="1" a="1"/>
  <c r="B37" i="1"/>
  <c r="B45" i="1" a="1"/>
  <c r="B45" i="1"/>
  <c r="B33" i="1" a="1"/>
  <c r="B33" i="1"/>
  <c r="B42" i="1" a="1"/>
  <c r="B42" i="1"/>
  <c r="B2" i="1" a="1"/>
  <c r="B2" i="1"/>
  <c r="C14" i="1" a="1"/>
  <c r="C14" i="1" l="1"/>
  <c r="C44" i="1" a="1"/>
  <c r="C44" i="1"/>
  <c r="C34" i="1" a="1"/>
  <c r="C34" i="1"/>
  <c r="C56" i="1" a="1"/>
  <c r="C56" i="1"/>
  <c r="C18" i="1" a="1"/>
  <c r="C18" i="1"/>
  <c r="C45" i="1" a="1"/>
  <c r="C45" i="1"/>
  <c r="C31" i="1" a="1"/>
  <c r="C31" i="1"/>
  <c r="C19" i="1" a="1"/>
  <c r="C19" i="1"/>
  <c r="C41" i="1" a="1"/>
  <c r="C41" i="1"/>
  <c r="C11" i="1" a="1"/>
  <c r="C11" i="1"/>
  <c r="C38" i="1" a="1"/>
  <c r="C38" i="1"/>
  <c r="C37" i="1" a="1"/>
  <c r="C37" i="1"/>
  <c r="C43" i="1" a="1"/>
  <c r="C43" i="1"/>
  <c r="C21" i="1" a="1"/>
  <c r="C21" i="1"/>
  <c r="C16" i="1" a="1"/>
  <c r="C16" i="1"/>
  <c r="C29" i="1" a="1"/>
  <c r="C29" i="1"/>
  <c r="C57" i="1" a="1"/>
  <c r="C57" i="1"/>
  <c r="C33" i="1" a="1"/>
  <c r="C33" i="1"/>
  <c r="C39" i="1" a="1"/>
  <c r="C39" i="1"/>
  <c r="C7" i="1" a="1"/>
  <c r="C7" i="1"/>
  <c r="C49" i="1" a="1"/>
  <c r="C49" i="1"/>
  <c r="C20" i="1" a="1"/>
  <c r="C20" i="1"/>
  <c r="C9" i="1" a="1"/>
  <c r="C9" i="1"/>
  <c r="C25" i="1" a="1"/>
  <c r="C25" i="1"/>
  <c r="C17" i="1" a="1"/>
  <c r="C17" i="1"/>
  <c r="C55" i="1" a="1"/>
  <c r="C55" i="1"/>
  <c r="C28" i="1" a="1"/>
  <c r="C28" i="1"/>
  <c r="C52" i="1" a="1"/>
  <c r="C52" i="1"/>
  <c r="C5" i="1" a="1"/>
  <c r="C5" i="1"/>
  <c r="C10" i="1" a="1"/>
  <c r="C10" i="1"/>
  <c r="C26" i="1" a="1"/>
  <c r="C26" i="1"/>
  <c r="C36" i="1" a="1"/>
  <c r="C36" i="1"/>
  <c r="C4" i="1" a="1"/>
  <c r="C4" i="1"/>
  <c r="C48" i="1" a="1"/>
  <c r="C48" i="1"/>
  <c r="C42" i="1" a="1"/>
  <c r="C42" i="1"/>
  <c r="C40" i="1" a="1"/>
  <c r="C40" i="1"/>
  <c r="C50" i="1" a="1"/>
  <c r="C50" i="1"/>
  <c r="C23" i="1" a="1"/>
  <c r="C23" i="1"/>
  <c r="C24" i="1" a="1"/>
  <c r="C24" i="1"/>
  <c r="C51" i="1" a="1"/>
  <c r="C51" i="1"/>
  <c r="C35" i="1" a="1"/>
  <c r="C35" i="1"/>
  <c r="C54" i="1" a="1"/>
  <c r="C54" i="1"/>
  <c r="C8" i="1" a="1"/>
  <c r="C8" i="1"/>
  <c r="C30" i="1" a="1"/>
  <c r="C30" i="1"/>
  <c r="C22" i="1" a="1"/>
  <c r="C22" i="1"/>
  <c r="C27" i="1" a="1"/>
  <c r="C27" i="1"/>
  <c r="C15" i="1" a="1"/>
  <c r="C15" i="1"/>
  <c r="C13" i="1" a="1"/>
  <c r="C13" i="1"/>
  <c r="C58" i="1" a="1"/>
  <c r="C58" i="1"/>
  <c r="C6" i="1" a="1"/>
  <c r="C6" i="1"/>
  <c r="C12" i="1" a="1"/>
  <c r="C12" i="1"/>
  <c r="C53" i="1" a="1"/>
  <c r="C53" i="1"/>
  <c r="C3" i="1" a="1"/>
  <c r="C3" i="1"/>
  <c r="C47" i="1" a="1"/>
  <c r="C47" i="1"/>
  <c r="C46" i="1" a="1"/>
  <c r="C46" i="1"/>
  <c r="C32" i="1" a="1"/>
  <c r="C32" i="1"/>
  <c r="C2" i="1" a="1"/>
  <c r="C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<sst xmlns="http://schemas.openxmlformats.org/spreadsheetml/2006/main" count="113" uniqueCount="68">
  <si>
    <t>ETFMIB</t>
  </si>
  <si>
    <t>MIBA</t>
  </si>
  <si>
    <t>ESGWO</t>
  </si>
  <si>
    <t>V3ML</t>
  </si>
  <si>
    <t>REM3</t>
  </si>
  <si>
    <t>WEBN</t>
  </si>
  <si>
    <t>S500H</t>
  </si>
  <si>
    <t>3D3D</t>
  </si>
  <si>
    <t>HQUS</t>
  </si>
  <si>
    <t>PFFI</t>
  </si>
  <si>
    <t>UESG</t>
  </si>
  <si>
    <t>SPAB</t>
  </si>
  <si>
    <t>JSEM</t>
  </si>
  <si>
    <t>PABWD</t>
  </si>
  <si>
    <t>FLXT</t>
  </si>
  <si>
    <t>MJUN</t>
  </si>
  <si>
    <t>PRIMJ</t>
  </si>
  <si>
    <t>USDB</t>
  </si>
  <si>
    <t>SPQH</t>
  </si>
  <si>
    <t>WEBH</t>
  </si>
  <si>
    <t>SPAH</t>
  </si>
  <si>
    <t>HEDGY</t>
  </si>
  <si>
    <t>HEDGJ</t>
  </si>
  <si>
    <t>MWSH</t>
  </si>
  <si>
    <t>HQIW</t>
  </si>
  <si>
    <t>V3MA</t>
  </si>
  <si>
    <t>S500</t>
  </si>
  <si>
    <t>SPQB</t>
  </si>
  <si>
    <t>NRAM</t>
  </si>
  <si>
    <t>HIDIJ</t>
  </si>
  <si>
    <t>PABUS</t>
  </si>
  <si>
    <t>GNOV</t>
  </si>
  <si>
    <t>MAXS</t>
  </si>
  <si>
    <t>GMAY</t>
  </si>
  <si>
    <t>HIDIV</t>
  </si>
  <si>
    <t>3DGL</t>
  </si>
  <si>
    <t>ETFGLO</t>
  </si>
  <si>
    <t>LUSA</t>
  </si>
  <si>
    <t>ACTIJ</t>
  </si>
  <si>
    <t>ACTIO</t>
  </si>
  <si>
    <t>XMAE</t>
  </si>
  <si>
    <t>3DUS</t>
  </si>
  <si>
    <t>PRIMO</t>
  </si>
  <si>
    <t>HQWA</t>
  </si>
  <si>
    <t>DEL2</t>
  </si>
  <si>
    <t>DES2</t>
  </si>
  <si>
    <t>VNGA60</t>
  </si>
  <si>
    <t>VNGD60</t>
  </si>
  <si>
    <t>VNGA80</t>
  </si>
  <si>
    <t>VNGD80</t>
  </si>
  <si>
    <t>ACWIE</t>
  </si>
  <si>
    <t>XSSX</t>
  </si>
  <si>
    <t>XMAS</t>
  </si>
  <si>
    <t>XNIF</t>
  </si>
  <si>
    <t>S6EW</t>
  </si>
  <si>
    <t>IQEE</t>
  </si>
  <si>
    <t>SCWX</t>
  </si>
  <si>
    <t>EMU</t>
  </si>
  <si>
    <t>SWDA</t>
  </si>
  <si>
    <t>AEEM</t>
  </si>
  <si>
    <t>emu</t>
  </si>
  <si>
    <t>spx</t>
  </si>
  <si>
    <t>HTWN</t>
  </si>
  <si>
    <t>SPX</t>
  </si>
  <si>
    <t>Swda</t>
  </si>
  <si>
    <t>swda</t>
  </si>
  <si>
    <t>aeem</t>
  </si>
  <si>
    <t>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</si>
</sst>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BDP|18163103716233939167</stp>
        <tr r="F53" s="1"/>
      </tp>
    </main>
    <main first="bofaddin.rtdserver">
      <tp t="s">
        <v>#N/A N/A</v>
        <stp/>
        <stp>BDP|13734946733910364337</stp>
        <tr r="B51" s="1"/>
      </tp>
    </main>
    <main first="bofaddin.rtdserver">
      <tp t="s">
        <v>#N/A N/A</v>
        <stp/>
        <stp>BDP|16303791669668257529</stp>
        <tr r="C58" s="1"/>
      </tp>
    </main>
    <main first="bofaddin.rtdserver">
      <tp t="s">
        <v>#N/A N/A</v>
        <stp/>
        <stp>BDP|15282496899285248759</stp>
        <tr r="B12" s="1"/>
      </tp>
      <tp t="s">
        <v>#N/A N/A</v>
        <stp/>
        <stp>BDP|15817324284792866607</stp>
        <tr r="B50" s="1"/>
      </tp>
    </main>
    <main first="bofaddin.rtdserver">
      <tp t="s">
        <v>#N/A N/A</v>
        <stp/>
        <stp>BDP|16770379587584844265</stp>
        <tr r="F4" s="1"/>
      </tp>
    </main>
    <main first="bofaddin.rtdserver">
      <tp t="s">
        <v>#N/A N/A</v>
        <stp/>
        <stp>BDP|10554080967918991526</stp>
        <tr r="C22" s="1"/>
      </tp>
    </main>
    <main first="bofaddin.rtdserver">
      <tp t="s">
        <v>#N/A N/A</v>
        <stp/>
        <stp>BDP|17768831973455577663</stp>
        <tr r="C43" s="1"/>
      </tp>
      <tp t="s">
        <v>#N/A N/A</v>
        <stp/>
        <stp>BDP|14452775560769243754</stp>
        <tr r="F47" s="1"/>
      </tp>
    </main>
    <main first="bofaddin.rtdserver">
      <tp t="s">
        <v>#N/A N/A</v>
        <stp/>
        <stp>BDP|12923055196141259207</stp>
        <tr r="B13" s="1"/>
      </tp>
      <tp t="s">
        <v>#N/A N/A</v>
        <stp/>
        <stp>BDP|17682470208139408272</stp>
        <tr r="C21" s="1"/>
      </tp>
      <tp t="s">
        <v>#N/A N/A</v>
        <stp/>
        <stp>BDP|18220664697089884657</stp>
        <tr r="C38" s="1"/>
      </tp>
      <tp t="s">
        <v>#N/A N/A</v>
        <stp/>
        <stp>BDP|14197272359729257235</stp>
        <tr r="C12" s="1"/>
      </tp>
      <tp t="s">
        <v>#N/A N/A</v>
        <stp/>
        <stp>BDP|16263701399361916137</stp>
        <tr r="B4" s="1"/>
      </tp>
      <tp t="s">
        <v>#N/A N/A</v>
        <stp/>
        <stp>BDP|16254040494263146422</stp>
        <tr r="B2" s="1"/>
      </tp>
    </main>
    <main first="bofaddin.rtdserver">
      <tp t="s">
        <v>#N/A N/A</v>
        <stp/>
        <stp>BDP|11938841010883649392</stp>
        <tr r="C51" s="1"/>
      </tp>
      <tp t="s">
        <v>#N/A N/A</v>
        <stp/>
        <stp>BDP|17853689758218449485</stp>
        <tr r="C37" s="1"/>
      </tp>
    </main>
    <main first="bofaddin.rtdserver">
      <tp t="s">
        <v>#N/A N/A</v>
        <stp/>
        <stp>BDP|18353372125162253260</stp>
        <tr r="B58" s="1"/>
      </tp>
    </main>
    <main first="bofaddin.rtdserver">
      <tp t="s">
        <v>#N/A N/A</v>
        <stp/>
        <stp>BDP|10486675481755044591</stp>
        <tr r="G16" s="1"/>
      </tp>
    </main>
    <main first="bofaddin.rtdserver">
      <tp t="s">
        <v>#N/A N/A</v>
        <stp/>
        <stp>BDP|17181296330721108985</stp>
        <tr r="B16" s="1"/>
      </tp>
      <tp t="s">
        <v>#N/A N/A</v>
        <stp/>
        <stp>BDP|11724947806044073275</stp>
        <tr r="G10" s="1"/>
        <tr r="G12" s="1"/>
        <tr r="G28" s="1"/>
        <tr r="G32" s="1"/>
        <tr r="G33" s="1"/>
        <tr r="G34" s="1"/>
        <tr r="G35" s="1"/>
        <tr r="G39" s="1"/>
        <tr r="G43" s="1"/>
      </tp>
    </main>
    <main first="bofaddin.rtdserver">
      <tp t="s">
        <v>#N/A N/A</v>
        <stp/>
        <stp>BDP|17111748151493631879</stp>
        <tr r="F43" s="1"/>
      </tp>
    </main>
    <main first="bofaddin.rtdserver">
      <tp t="s">
        <v>#N/A N/A</v>
        <stp/>
        <stp>BDP|11048309875203542993</stp>
        <tr r="C8" s="1"/>
      </tp>
    </main>
    <main first="bofaddin.rtdserver">
      <tp t="s">
        <v>#N/A N/A</v>
        <stp/>
        <stp>BDP|18313547025390167081</stp>
        <tr r="B19" s="1"/>
      </tp>
    </main>
    <main first="bofaddin.rtdserver">
      <tp t="s">
        <v>#N/A N/A</v>
        <stp/>
        <stp>BDP|17650810026030245226</stp>
        <tr r="C16" s="1"/>
      </tp>
    </main>
    <main first="bofaddin.rtdserver">
      <tp t="s">
        <v>#N/A N/A</v>
        <stp/>
        <stp>BDP|12246036363048536030</stp>
        <tr r="C24" s="1"/>
      </tp>
    </main>
    <main first="bofaddin.rtdserver">
      <tp t="s">
        <v>#N/A N/A</v>
        <stp/>
        <stp>BDP|13516194554122379804</stp>
        <tr r="B57" s="1"/>
      </tp>
      <tp t="s">
        <v>#N/A N/A</v>
        <stp/>
        <stp>BDP|12789574780595259780</stp>
        <tr r="B25" s="1"/>
      </tp>
    </main>
    <main first="bofaddin.rtdserver">
      <tp t="s">
        <v>#N/A N/A</v>
        <stp/>
        <stp>BDP|12152859852001532326</stp>
        <tr r="F57" s="1"/>
      </tp>
    </main>
    <main first="bofaddin.rtdserver">
      <tp t="s">
        <v>#N/A N/A</v>
        <stp/>
        <stp>BDP|11539051906659030530</stp>
        <tr r="B54" s="1"/>
      </tp>
    </main>
    <main first="bofaddin.rtdserver">
      <tp t="s">
        <v>#N/A N/A</v>
        <stp/>
        <stp>BDP|10877169664098662286</stp>
        <tr r="C30" s="1"/>
      </tp>
      <tp t="s">
        <v>#N/A N/A</v>
        <stp/>
        <stp>BDP|15561978857537003328</stp>
        <tr r="C53" s="1"/>
      </tp>
    </main>
    <main first="bofaddin.rtdserver">
      <tp t="s">
        <v>#N/A N/A</v>
        <stp/>
        <stp>BDP|13576085566484374339</stp>
        <tr r="B38" s="1"/>
      </tp>
    </main>
    <main first="bofaddin.rtdserver">
      <tp t="s">
        <v>#N/A N/A</v>
        <stp/>
        <stp>BDP|12915146664450724712</stp>
        <tr r="C23" s="1"/>
      </tp>
    </main>
    <main first="bofaddin.rtdserver">
      <tp t="s">
        <v>#N/A N/A</v>
        <stp/>
        <stp>BDP|11809902625488742098</stp>
        <tr r="F12" s="1"/>
      </tp>
    </main>
    <main first="bofaddin.rtdserver">
      <tp t="s">
        <v>#N/A N/A</v>
        <stp/>
        <stp>BDP|12194108372647602105</stp>
        <tr r="B43" s="1"/>
      </tp>
      <tp t="s">
        <v>#N/A N/A</v>
        <stp/>
        <stp>BDP|15475262732414003253</stp>
        <tr r="B10" s="1"/>
      </tp>
      <tp t="s">
        <v>#N/A N/A</v>
        <stp/>
        <stp>BDP|16178795928965348474</stp>
        <tr r="F29" s="1"/>
      </tp>
      <tp t="s">
        <v>#N/A N/A</v>
        <stp/>
        <stp>BDP|17332166044762705225</stp>
        <tr r="G44" s="1"/>
        <tr r="G46" s="1"/>
        <tr r="G47" s="1"/>
        <tr r="G53" s="1"/>
        <tr r="G56" s="1"/>
        <tr r="G57" s="1"/>
        <tr r="G8" s="1"/>
        <tr r="G9" s="1"/>
      </tp>
      <tp t="s">
        <v>#N/A N/A</v>
        <stp/>
        <stp>BDP|13909194403522752201</stp>
        <tr r="B30" s="1"/>
      </tp>
    </main>
    <main first="bofaddin.rtdserver">
      <tp t="s">
        <v>#N/A N/A</v>
        <stp/>
        <stp>BDP|15937613702241318128</stp>
        <tr r="F2" s="1"/>
      </tp>
      <tp t="s">
        <v>#N/A N/A</v>
        <stp/>
        <stp>BDP|13863813507418072029</stp>
        <tr r="B39" s="1"/>
      </tp>
      <tp t="s">
        <v>#N/A N/A</v>
        <stp/>
        <stp>BDP|10398094475446432274</stp>
        <tr r="F31" s="1"/>
      </tp>
      <tp t="s">
        <v>#N/A N/A</v>
        <stp/>
        <stp>BDP|14075003821701846484</stp>
        <tr r="B55" s="1"/>
      </tp>
    </main>
    <main first="bofaddin.rtdserver">
      <tp t="s">
        <v>#N/A N/A</v>
        <stp/>
        <stp>BDP|18205026984523073015</stp>
        <tr r="G14" s="1"/>
        <tr r="G15" s="1"/>
        <tr r="G20" s="1"/>
        <tr r="G22" s="1"/>
        <tr r="G26" s="1"/>
        <tr r="G4" s="1"/>
        <tr r="G7" s="1"/>
      </tp>
      <tp t="s">
        <v>#N/A N/A</v>
        <stp/>
        <stp>BDP|14491569411526628525</stp>
        <tr r="C46" s="1"/>
      </tp>
    </main>
    <main first="bofaddin.rtdserver">
      <tp t="s">
        <v>#N/A N/A</v>
        <stp/>
        <stp>BDP|17268464818310439200</stp>
        <tr r="F38" s="1"/>
      </tp>
    </main>
    <main first="bofaddin.rtdserver">
      <tp t="s">
        <v>#N/A N/A</v>
        <stp/>
        <stp>BDP|13172211552445016196</stp>
        <tr r="B27" s="1"/>
      </tp>
      <tp t="s">
        <v>#N/A N/A</v>
        <stp/>
        <stp>BDP|12437771302443844630</stp>
        <tr r="B36" s="1"/>
      </tp>
      <tp t="s">
        <v>#N/A N/A</v>
        <stp/>
        <stp>BDP|11467627463570396196</stp>
        <tr r="C54" s="1"/>
      </tp>
      <tp t="s">
        <v>#N/A N/A</v>
        <stp/>
        <stp>BDP|17362655231630025284</stp>
        <tr r="C15" s="1"/>
      </tp>
      <tp t="s">
        <v>#N/A N/A</v>
        <stp/>
        <stp>BDP|12626543204352759503</stp>
        <tr r="F56" s="1"/>
      </tp>
    </main>
    <main first="bofaddin.rtdserver">
      <tp t="s">
        <v>#N/A N/A</v>
        <stp/>
        <stp>BDP|18362818227757376560</stp>
        <tr r="F44" s="1"/>
      </tp>
      <tp t="s">
        <v>#N/A N/A</v>
        <stp/>
        <stp>BDP|13721369043084900088</stp>
        <tr r="F10" s="1"/>
      </tp>
      <tp t="s">
        <v>#N/A N/A</v>
        <stp/>
        <stp>BDP|13822485901152706550</stp>
        <tr r="B9" s="1"/>
      </tp>
    </main>
    <main first="bofaddin.rtdserver">
      <tp t="s">
        <v>#N/A N/A</v>
        <stp/>
        <stp>BDP|10291014614583245231</stp>
        <tr r="F52" s="1"/>
      </tp>
    </main>
    <main first="bofaddin.rtdserver">
      <tp t="s">
        <v>#N/A N/A</v>
        <stp/>
        <stp>BDP|12453487257681676331</stp>
        <tr r="F45" s="1"/>
      </tp>
      <tp t="s">
        <v>#N/A N/A</v>
        <stp/>
        <stp>BDP|18161749322054434832</stp>
        <tr r="B22" s="1"/>
      </tp>
      <tp t="s">
        <v>#N/A N/A</v>
        <stp/>
        <stp>BDP|16049948703248066644</stp>
        <tr r="F48" s="1"/>
      </tp>
      <tp t="s">
        <v>#N/A N/A</v>
        <stp/>
        <stp>BDP|13464594684957942850</stp>
        <tr r="G13" s="1"/>
        <tr r="G17" s="1"/>
        <tr r="G19" s="1"/>
        <tr r="G21" s="1"/>
        <tr r="G30" s="1"/>
      </tp>
      <tp t="s">
        <v>#N/A N/A</v>
        <stp/>
        <stp>BDP|14859279728947651251</stp>
        <tr r="F20" s="1"/>
      </tp>
    </main>
    <main first="bofaddin.rtdserver">
      <tp t="s">
        <v>#N/A N/A</v>
        <stp/>
        <stp>BDP|14991393228155196606</stp>
        <tr r="F3" s="1"/>
      </tp>
    </main>
    <main first="bofaddin.rtdserver">
      <tp t="s">
        <v>#N/A N/A</v>
        <stp/>
        <stp>BDP|18077882037714936167</stp>
        <tr r="F11" s="1"/>
      </tp>
      <tp t="s">
        <v>#N/A N/A</v>
        <stp/>
        <stp>BDP|17317487863953807029</stp>
        <tr r="F34" s="1"/>
      </tp>
    </main>
    <main first="bofaddin.rtdserver">
      <tp t="s">
        <v>#N/A N/A</v>
        <stp/>
        <stp>BDP|13481306722263175732</stp>
        <tr r="C32" s="1"/>
      </tp>
      <tp t="s">
        <v>#N/A N/A</v>
        <stp/>
        <stp>BDP|14914224566190117688</stp>
        <tr r="C47" s="1"/>
      </tp>
      <tp t="s">
        <v>#N/A N/A</v>
        <stp/>
        <stp>BDP|16980532062842920161</stp>
        <tr r="F14" s="1"/>
      </tp>
    </main>
    <main first="bofaddin.rtdserver">
      <tp t="s">
        <v>#N/A N/A</v>
        <stp/>
        <stp>BDP|14996773622727504118</stp>
        <tr r="F21" s="1"/>
      </tp>
      <tp t="s">
        <v>#N/A N/A</v>
        <stp/>
        <stp>BDP|13206335265705679495</stp>
        <tr r="B41" s="1"/>
      </tp>
    </main>
    <main first="bofaddin.rtdserver">
      <tp t="s">
        <v>#N/A N/A</v>
        <stp/>
        <stp>BDP|13810166061307276425</stp>
        <tr r="B6" s="1"/>
      </tp>
      <tp t="s">
        <v>#N/A N/A</v>
        <stp/>
        <stp>BDP|16886758573484479540</stp>
        <tr r="C13" s="1"/>
      </tp>
    </main>
    <main first="bofaddin.rtdserver">
      <tp t="s">
        <v>#N/A N/A</v>
        <stp/>
        <stp>BDP|16587041996931315959</stp>
        <tr r="F22" s="1"/>
      </tp>
      <tp t="s">
        <v>#N/A N/A</v>
        <stp/>
        <stp>BDP|13193210296486541907</stp>
        <tr r="B31" s="1"/>
      </tp>
      <tp t="s">
        <v>#N/A N/A</v>
        <stp/>
        <stp>BDP|15620438501213175568</stp>
        <tr r="F9" s="1"/>
      </tp>
      <tp t="s">
        <v>#N/A N/A</v>
        <stp/>
        <stp>BDP|13494006487364372829</stp>
        <tr r="B44" s="1"/>
      </tp>
    </main>
    <main first="bofaddin.rtdserver">
      <tp t="s">
        <v>#N/A N/A</v>
        <stp/>
        <stp>BDP|14677680919184122011</stp>
        <tr r="C3" s="1"/>
      </tp>
    </main>
    <main first="bofaddin.rtdserver">
      <tp t="s">
        <v>#N/A N/A</v>
        <stp/>
        <stp>BDP|13837252937250247613</stp>
        <tr r="F42" s="1"/>
      </tp>
      <tp t="s">
        <v>#N/A N/A</v>
        <stp/>
        <stp>BDP|12851738736631492315</stp>
        <tr r="F37" s="1"/>
      </tp>
      <tp t="s">
        <v>#N/A N/A</v>
        <stp/>
        <stp>BDP|15576383054602693557</stp>
        <tr r="F32" s="1"/>
      </tp>
    </main>
    <main first="bofaddin.rtdserver">
      <tp t="s">
        <v>#N/A N/A</v>
        <stp/>
        <stp>BDP|13055316197635965811</stp>
        <tr r="C50" s="1"/>
      </tp>
      <tp t="s">
        <v>#N/A N/A</v>
        <stp/>
        <stp>BDP|17039104800621370339</stp>
        <tr r="B21" s="1"/>
      </tp>
    </main>
    <main first="bofaddin.rtdserver">
      <tp t="s">
        <v>#N/A N/A</v>
        <stp/>
        <stp>BDP|16644246965127934181</stp>
        <tr r="B53" s="1"/>
      </tp>
    </main>
    <main first="bofaddin.rtdserver">
      <tp t="s">
        <v>#N/A N/A</v>
        <stp/>
        <stp>BDP|17570665869217436551</stp>
        <tr r="C29" s="1"/>
      </tp>
      <tp t="s">
        <v>#N/A N/A</v>
        <stp/>
        <stp>BDP|18177868926883332496</stp>
        <tr r="B46" s="1"/>
      </tp>
      <tp t="s">
        <v>#N/A N/A</v>
        <stp/>
        <stp>BDP|13519495659913140486</stp>
        <tr r="B17" s="1"/>
      </tp>
      <tp t="s">
        <v>#N/A N/A</v>
        <stp/>
        <stp>BDP|11715316456325792784</stp>
        <tr r="B32" s="1"/>
      </tp>
      <tp t="s">
        <v>#N/A N/A</v>
        <stp/>
        <stp>BDP|11433659652160793756</stp>
        <tr r="C35" s="1"/>
      </tp>
    </main>
    <main first="bofaddin.rtdserver">
      <tp t="s">
        <v>#N/A N/A</v>
        <stp/>
        <stp>BDP|16797271905675796440</stp>
        <tr r="C6" s="1"/>
      </tp>
    </main>
    <main first="bofaddin.rtdserver">
      <tp t="s">
        <v>#N/A N/A</v>
        <stp/>
        <stp>BDP|3483879249275530679</stp>
        <tr r="C45" s="1"/>
      </tp>
    </main>
    <main first="bofaddin.rtdserver">
      <tp t="s">
        <v>#N/A N/A</v>
        <stp/>
        <stp>BDP|9401419766896258118</stp>
        <tr r="B8" s="1"/>
      </tp>
      <tp t="s">
        <v>#N/A N/A</v>
        <stp/>
        <stp>BDP|7997929076692996756</stp>
        <tr r="G11" s="1"/>
      </tp>
      <tp t="s">
        <v>#N/A N/A</v>
        <stp/>
        <stp>BDP|7821733094506814315</stp>
        <tr r="F55" s="1"/>
      </tp>
      <tp t="s">
        <v>#N/A N/A</v>
        <stp/>
        <stp>BDP|4748874046372447665</stp>
        <tr r="B48" s="1"/>
      </tp>
    </main>
    <main first="bofaddin.rtdserver">
      <tp t="s">
        <v>#N/A N/A</v>
        <stp/>
        <stp>BDP|1105912349346766774</stp>
        <tr r="F41" s="1"/>
      </tp>
      <tp t="s">
        <v>#N/A N/A</v>
        <stp/>
        <stp>BDP|1165897852316984716</stp>
        <tr r="F17" s="1"/>
      </tp>
      <tp t="s">
        <v>#N/A N/A</v>
        <stp/>
        <stp>BDP|9086666002864619632</stp>
        <tr r="C5" s="1"/>
      </tp>
      <tp t="s">
        <v>#N/A N/A</v>
        <stp/>
        <stp>BDP|7176933631636748624</stp>
        <tr r="F46" s="1"/>
      </tp>
    </main>
    <main first="bofaddin.rtdserver">
      <tp t="s">
        <v>#N/A N/A</v>
        <stp/>
        <stp>BDP|9121626401381264344</stp>
        <tr r="C28" s="1"/>
      </tp>
    </main>
    <main first="bofaddin.rtdserver">
      <tp t="s">
        <v>#N/A N/A</v>
        <stp/>
        <stp>BDP|2357350637859445584</stp>
        <tr r="C20" s="1"/>
      </tp>
    </main>
    <main first="bofaddin.rtdserver">
      <tp t="s">
        <v>#N/A N/A</v>
        <stp/>
        <stp>BDP|9015732733191095236</stp>
        <tr r="B40" s="1"/>
      </tp>
      <tp t="s">
        <v>#N/A N/A</v>
        <stp/>
        <stp>BDP|2570437496196657768</stp>
        <tr r="C11" s="1"/>
      </tp>
      <tp t="s">
        <v>#N/A N/A</v>
        <stp/>
        <stp>BDP|8391717549896694384</stp>
        <tr r="C36" s="1"/>
      </tp>
      <tp t="s">
        <v>#N/A N/A</v>
        <stp/>
        <stp>BDP|1552892849972782173</stp>
        <tr r="B45" s="1"/>
      </tp>
      <tp t="s">
        <v>#N/A N/A</v>
        <stp/>
        <stp>BDP|4105905185638059311</stp>
        <tr r="B11" s="1"/>
      </tp>
    </main>
    <main first="bofaddin.rtdserver">
      <tp t="s">
        <v>#N/A N/A</v>
        <stp/>
        <stp>BDP|8321701274460719791</stp>
        <tr r="F7" s="1"/>
      </tp>
    </main>
    <main first="bofaddin.rtdserver">
      <tp t="s">
        <v>#N/A N/A</v>
        <stp/>
        <stp>BDP|7281727560241106817</stp>
        <tr r="C40" s="1"/>
      </tp>
      <tp t="s">
        <v>#N/A N/A</v>
        <stp/>
        <stp>BDP|8920594213201083236</stp>
        <tr r="C10" s="1"/>
      </tp>
    </main>
    <main first="bofaddin.rtdserver">
      <tp t="s">
        <v>#N/A N/A</v>
        <stp/>
        <stp>BDP|8482086265764324208</stp>
        <tr r="B20" s="1"/>
      </tp>
    </main>
    <main first="bofaddin.rtdserver">
      <tp t="s">
        <v>#N/A N/A</v>
        <stp/>
        <stp>BDP|7904808904825955258</stp>
        <tr r="B35" s="1"/>
      </tp>
      <tp t="s">
        <v>#N/A N/A</v>
        <stp/>
        <stp>BDP|9576272687283543814</stp>
        <tr r="C27" s="1"/>
      </tp>
    </main>
    <main first="bofaddin.rtdserver">
      <tp t="s">
        <v>#N/A N/A</v>
        <stp/>
        <stp>BDP|9027501832120927603</stp>
        <tr r="B26" s="1"/>
      </tp>
      <tp t="s">
        <v>#N/A N/A</v>
        <stp/>
        <stp>BDP|6933620679039398796</stp>
        <tr r="G27" s="1"/>
      </tp>
      <tp t="s">
        <v>#N/A N/A</v>
        <stp/>
        <stp>BDP|7210696190727427613</stp>
        <tr r="B34" s="1"/>
      </tp>
      <tp t="s">
        <v>#N/A N/A</v>
        <stp/>
        <stp>BDP|7621327357069826177</stp>
        <tr r="F58" s="1"/>
      </tp>
      <tp t="s">
        <v>#N/A N/A</v>
        <stp/>
        <stp>BDP|1710556064353740854</stp>
        <tr r="F8" s="1"/>
      </tp>
    </main>
    <main first="bofaddin.rtdserver">
      <tp t="s">
        <v>#N/A N/A</v>
        <stp/>
        <stp>BDP|6075586515471780962</stp>
        <tr r="C14" s="1"/>
      </tp>
      <tp t="s">
        <v>#N/A N/A</v>
        <stp/>
        <stp>BDP|4128416330331508880</stp>
        <tr r="C18" s="1"/>
      </tp>
    </main>
    <main first="bofaddin.rtdserver">
      <tp t="s">
        <v>#N/A N/A</v>
        <stp/>
        <stp>BDP|3945189585305379541</stp>
        <tr r="G2" s="1"/>
        <tr r="G23" s="1"/>
        <tr r="G24" s="1"/>
        <tr r="G18" s="1"/>
        <tr r="G25" s="1"/>
        <tr r="G3" s="1"/>
      </tp>
    </main>
    <main first="bofaddin.rtdserver">
      <tp t="s">
        <v>#N/A N/A</v>
        <stp/>
        <stp>BDP|4866088182466807119</stp>
        <tr r="F26" s="1"/>
      </tp>
    </main>
    <main first="bofaddin.rtdserver">
      <tp t="s">
        <v>#N/A N/A</v>
        <stp/>
        <stp>BDP|4594069089693482427</stp>
        <tr r="B52" s="1"/>
      </tp>
      <tp t="s">
        <v>#N/A N/A</v>
        <stp/>
        <stp>BDP|7267997931185131396</stp>
        <tr r="F30" s="1"/>
      </tp>
      <tp t="s">
        <v>#N/A N/A</v>
        <stp/>
        <stp>BDP|9895926350237990973</stp>
        <tr r="B56" s="1"/>
      </tp>
      <tp t="s">
        <v>#N/A N/A</v>
        <stp/>
        <stp>BDP|1355152780003592069</stp>
        <tr r="F54" s="1"/>
      </tp>
    </main>
    <main first="bofaddin.rtdserver">
      <tp t="s">
        <v>#N/A N/A</v>
        <stp/>
        <stp>BDP|2194699888350743888</stp>
        <tr r="C57" s="1"/>
      </tp>
      <tp t="s">
        <v>#N/A N/A</v>
        <stp/>
        <stp>BDP|3847569144146089079</stp>
        <tr r="F16" s="1"/>
      </tp>
      <tp t="s">
        <v>#N/A N/A</v>
        <stp/>
        <stp>BDP|8517137298185493179</stp>
        <tr r="G5" s="1"/>
        <tr r="G6" s="1"/>
      </tp>
      <tp t="s">
        <v>#N/A N/A</v>
        <stp/>
        <stp>BDP|7069808051029412754</stp>
        <tr r="G54" s="1"/>
      </tp>
      <tp t="s">
        <v>#N/A N/A</v>
        <stp/>
        <stp>BDP|7112727197478640521</stp>
        <tr r="G29" s="1"/>
        <tr r="G31" s="1"/>
        <tr r="G36" s="1"/>
        <tr r="G37" s="1"/>
        <tr r="G38" s="1"/>
        <tr r="G40" s="1"/>
        <tr r="G41" s="1"/>
        <tr r="G42" s="1"/>
        <tr r="G45" s="1"/>
        <tr r="G48" s="1"/>
        <tr r="G49" s="1"/>
        <tr r="G50" s="1"/>
        <tr r="G51" s="1"/>
        <tr r="G52" s="1"/>
        <tr r="G58" s="1"/>
      </tp>
      <tp t="s">
        <v>#N/A N/A</v>
        <stp/>
        <stp>BDP|3582141957072800185</stp>
        <tr r="F25" s="1"/>
      </tp>
    </main>
    <main first="bofaddin.rtdserver">
      <tp t="s">
        <v>#N/A N/A</v>
        <stp/>
        <stp>BDP|7621205757143594702</stp>
        <tr r="C48" s="1"/>
      </tp>
    </main>
    <main first="bofaddin.rtdserver">
      <tp t="s">
        <v>#N/A N/A</v>
        <stp/>
        <stp>BDP|1599723443252733581</stp>
        <tr r="C33" s="1"/>
      </tp>
      <tp t="s">
        <v>#N/A N/A</v>
        <stp/>
        <stp>BDP|5987050690251327847</stp>
        <tr r="B18" s="1"/>
      </tp>
      <tp t="s">
        <v>#N/A N/A</v>
        <stp/>
        <stp>BDP|5724229331395389496</stp>
        <tr r="C2" s="1"/>
      </tp>
      <tp t="s">
        <v>#N/A N/A</v>
        <stp/>
        <stp>BDP|2862269761566957500</stp>
        <tr r="F51" s="1"/>
      </tp>
      <tp t="s">
        <v>#N/A N/A</v>
        <stp/>
        <stp>BDP|4551442951604160471</stp>
        <tr r="F36" s="1"/>
      </tp>
    </main>
    <main first="bofaddin.rtdserver">
      <tp t="s">
        <v>#N/A N/A</v>
        <stp/>
        <stp>BDP|3717408768785738239</stp>
        <tr r="B24" s="1"/>
      </tp>
      <tp t="s">
        <v>#N/A N/A</v>
        <stp/>
        <stp>BDP|4302229929296211447</stp>
        <tr r="B5" s="1"/>
      </tp>
      <tp t="s">
        <v>#N/A N/A</v>
        <stp/>
        <stp>BDP|3575463898721004973</stp>
        <tr r="F13" s="1"/>
      </tp>
      <tp t="s">
        <v>#N/A N/A</v>
        <stp/>
        <stp>BDP|9270933356576512519</stp>
        <tr r="B15" s="1"/>
      </tp>
      <tp t="s">
        <v>#N/A N/A</v>
        <stp/>
        <stp>BDP|3290206866397328645</stp>
        <tr r="B47" s="1"/>
      </tp>
      <tp t="s">
        <v>#N/A N/A</v>
        <stp/>
        <stp>BDP|6513929581133159211</stp>
        <tr r="C44" s="1"/>
      </tp>
      <tp t="s">
        <v>#N/A N/A</v>
        <stp/>
        <stp>BDP|3451207727920604516</stp>
        <tr r="F39" s="1"/>
      </tp>
    </main>
    <main first="bofaddin.rtdserver">
      <tp t="s">
        <v>#N/A N/A</v>
        <stp/>
        <stp>BDP|2905234651706627450</stp>
        <tr r="B37" s="1"/>
      </tp>
      <tp t="s">
        <v>#N/A N/A</v>
        <stp/>
        <stp>BDP|3232566928590904389</stp>
        <tr r="C19" s="1"/>
      </tp>
      <tp t="s">
        <v>#N/A N/A</v>
        <stp/>
        <stp>BDP|7961999772219132736</stp>
        <tr r="C4" s="1"/>
      </tp>
      <tp t="s">
        <v>#N/A N/A</v>
        <stp/>
        <stp>BDP|1074798021174131792</stp>
        <tr r="C7" s="1"/>
      </tp>
      <tp t="s">
        <v>#N/A N/A</v>
        <stp/>
        <stp>BDP|7557728332652747645</stp>
        <tr r="B23" s="1"/>
      </tp>
      <tp t="s">
        <v>#N/A N/A</v>
        <stp/>
        <stp>BDP|4614355215561827086</stp>
        <tr r="C56" s="1"/>
      </tp>
    </main>
    <main first="bofaddin.rtdserver">
      <tp t="s">
        <v>#N/A N/A</v>
        <stp/>
        <stp>BDP|3791141226797845721</stp>
        <tr r="F33" s="1"/>
      </tp>
      <tp t="s">
        <v>#N/A N/A</v>
        <stp/>
        <stp>BDP|4109358528137326207</stp>
        <tr r="F24" s="1"/>
      </tp>
      <tp t="s">
        <v>#N/A N/A</v>
        <stp/>
        <stp>BDP|7981164062708397820</stp>
        <tr r="B7" s="1"/>
      </tp>
    </main>
    <main first="bofaddin.rtdserver">
      <tp t="s">
        <v>#N/A N/A</v>
        <stp/>
        <stp>BDP|3631761749257472706</stp>
        <tr r="F18" s="1"/>
      </tp>
    </main>
    <main first="bofaddin.rtdserver">
      <tp t="s">
        <v>#N/A N/A</v>
        <stp/>
        <stp>BDP|3615164552627745044</stp>
        <tr r="C31" s="1"/>
      </tp>
    </main>
    <main first="bofaddin.rtdserver">
      <tp t="s">
        <v>#N/A N/A</v>
        <stp/>
        <stp>BDP|8313829144516791271</stp>
        <tr r="B14" s="1"/>
      </tp>
    </main>
    <main first="bofaddin.rtdserver">
      <tp t="s">
        <v>#N/A N/A</v>
        <stp/>
        <stp>BDP|8775932039332769103</stp>
        <tr r="C26" s="1"/>
      </tp>
      <tp t="s">
        <v>#N/A N/A</v>
        <stp/>
        <stp>BDP|9472088897147268624</stp>
        <tr r="F6" s="1"/>
      </tp>
      <tp t="s">
        <v>#N/A N/A</v>
        <stp/>
        <stp>BDP|4818880359918200032</stp>
        <tr r="G55" s="1"/>
      </tp>
      <tp t="s">
        <v>#N/A N/A</v>
        <stp/>
        <stp>BDP|8050865587840882965</stp>
        <tr r="B3" s="1"/>
      </tp>
      <tp t="s">
        <v>#N/A N/A</v>
        <stp/>
        <stp>BDP|8538076009308395159</stp>
        <tr r="B29" s="1"/>
      </tp>
      <tp t="s">
        <v>#N/A N/A</v>
        <stp/>
        <stp>BDP|1290733521351130435</stp>
        <tr r="B33" s="1"/>
      </tp>
      <tp t="s">
        <v>#N/A N/A</v>
        <stp/>
        <stp>BDP|7349573926152463368</stp>
        <tr r="C42" s="1"/>
      </tp>
      <tp t="s">
        <v>#N/A N/A</v>
        <stp/>
        <stp>BDP|4949066369143162019</stp>
        <tr r="F28" s="1"/>
      </tp>
      <tp t="s">
        <v>#N/A N/A</v>
        <stp/>
        <stp>BDP|2403646457846886689</stp>
        <tr r="F40" s="1"/>
      </tp>
      <tp t="s">
        <v>#N/A N/A</v>
        <stp/>
        <stp>BDP|7171267657068178962</stp>
        <tr r="F19" s="1"/>
      </tp>
      <tp t="s">
        <v>#N/A N/A</v>
        <stp/>
        <stp>BDP|9108628220139142558</stp>
        <tr r="C52" s="1"/>
      </tp>
      <tp t="s">
        <v>#N/A N/A</v>
        <stp/>
        <stp>BDP|6602243428726688194</stp>
        <tr r="B49" s="1"/>
      </tp>
    </main>
    <main first="bofaddin.rtdserver">
      <tp t="s">
        <v>#N/A N/A</v>
        <stp/>
        <stp>BDP|3015678794328512682</stp>
        <tr r="C41" s="1"/>
      </tp>
      <tp t="s">
        <v>#N/A N/A</v>
        <stp/>
        <stp>BDP|1229175956115802252</stp>
        <tr r="F5" s="1"/>
      </tp>
      <tp t="s">
        <v>#N/A N/A</v>
        <stp/>
        <stp>BDP|5460651304112187396</stp>
        <tr r="B28" s="1"/>
      </tp>
      <tp t="s">
        <v>#N/A N/A</v>
        <stp/>
        <stp>BDP|2738513702351059469</stp>
        <tr r="F27" s="1"/>
      </tp>
    </main>
    <main first="bofaddin.rtdserver">
      <tp t="s">
        <v>#N/A N/A</v>
        <stp/>
        <stp>BDP|1007560317201123708</stp>
        <tr r="B42" s="1"/>
      </tp>
      <tp t="s">
        <v>#N/A N/A</v>
        <stp/>
        <stp>BDP|5111981766368831171</stp>
        <tr r="C34" s="1"/>
      </tp>
    </main>
    <main first="bofaddin.rtdserver">
      <tp t="s">
        <v>#N/A N/A</v>
        <stp/>
        <stp>BDP|27489069249203529</stp>
        <tr r="C17" s="1"/>
      </tp>
    </main>
    <main first="bofaddin.rtdserver">
      <tp t="s">
        <v>#N/A N/A</v>
        <stp/>
        <stp>BDP|15096947995376145</stp>
        <tr r="C55" s="1"/>
      </tp>
    </main>
    <main first="bofaddin.rtdserver">
      <tp t="s">
        <v>#N/A N/A</v>
        <stp/>
        <stp>BDP|97099582353313942</stp>
        <tr r="C25" s="1"/>
      </tp>
    </main>
    <main first="bofaddin.rtdserver">
      <tp t="s">
        <v>#N/A N/A</v>
        <stp/>
        <stp>BDP|120977662512398897</stp>
        <tr r="C9" s="1"/>
      </tp>
    </main>
    <main first="bofaddin.rtdserver">
      <tp t="s">
        <v>#N/A N/A</v>
        <stp/>
        <stp>BDP|797088439152595636</stp>
        <tr r="C39" s="1"/>
      </tp>
    </main>
    <main first="bofaddin.rtdserver">
      <tp t="s">
        <v>#N/A N/A</v>
        <stp/>
        <stp>BDP|508000963378217870</stp>
        <tr r="F23" s="1"/>
      </tp>
    </main>
    <main first="bofaddin.rtdserver">
      <tp t="s">
        <v>#N/A N/A</v>
        <stp/>
        <stp>BDP|285268673453782621</stp>
        <tr r="F15" s="1"/>
      </tp>
    </main>
    <main first="bofaddin.rtdserver">
      <tp t="s">
        <v>#N/A N/A</v>
        <stp/>
        <stp>BDP|456429236282417694</stp>
        <tr r="F49" s="1"/>
      </tp>
    </main>
    <main first="bofaddin.rtdserver">
      <tp t="s">
        <v>#N/A N/A</v>
        <stp/>
        <stp>BDP|876694812066892295</stp>
        <tr r="F50" s="1"/>
      </tp>
    </main>
    <main first="bofaddin.rtdserver">
      <tp t="s">
        <v>#N/A N/A</v>
        <stp/>
        <stp>BDP|808664183482282157</stp>
        <tr r="C49" s="1"/>
      </tp>
    </main>
    <main first="bofaddin.rtdserver">
      <tp t="s">
        <v>#N/A N/A</v>
        <stp/>
        <stp>BDP|210788482272362531</stp>
        <tr r="F3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8"/>
  <sheetViews>
    <sheetView tabSelected="1" topLeftCell="A4" workbookViewId="0">
      <selection activeCell="F2" sqref="F2:G58"/>
    </sheetView>
  </sheetViews>
  <sheetFormatPr defaultRowHeight="15" x14ac:dyDescent="0.25"/>
  <cols>
    <col min="1" max="1" width="6.5703125" bestFit="1" customWidth="1"/>
    <col min="3" max="3" width="32.85546875" bestFit="1" customWidth="1"/>
    <col min="6" max="6" width="15" bestFit="1" customWidth="1"/>
  </cols>
  <sheetData>
    <row r="1" spans="1:45" x14ac:dyDescent="0.25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t="s">
        <v>57</v>
      </c>
      <c r="B2" t="str" cm="1">
        <f t="array" ref="B2">_xll.BDP(D2&amp;" im equity","fund geo focus")</f>
        <v>Italy</v>
      </c>
      <c r="C2" t="str" cm="1">
        <f t="array" ref="C2">_xll.BDP(D2&amp;" im equity","short name")</f>
        <v>AMUNDI FTSE MIB</v>
      </c>
      <c r="D2" s="1" t="s">
        <v>0</v>
      </c>
      <c r="F2" t="str" cm="1">
        <f t="array" ref="F2">_xll.BDP(D2&amp;" im equity","id isin")</f>
        <v>FR0010010827</v>
      </c>
      <c r="G2" t="str" cm="1">
        <f t="array" ref="G2">_xll.BDP(A2&amp;" im equity","id isin")</f>
        <v>LU1646360971</v>
      </c>
    </row>
    <row r="3" spans="1:45" x14ac:dyDescent="0.25">
      <c r="A3" t="s">
        <v>57</v>
      </c>
      <c r="B3" t="str" cm="1">
        <f t="array" ref="B3">_xll.BDP(D3&amp;" im equity","fund geo focus")</f>
        <v>Italy</v>
      </c>
      <c r="C3" t="str" cm="1">
        <f t="array" ref="C3">_xll.BDP(D3&amp;" im equity","short name")</f>
        <v>AM FTM UCETF D-A</v>
      </c>
      <c r="D3" s="1" t="s">
        <v>1</v>
      </c>
      <c r="F3" t="str" cm="1">
        <f t="array" ref="F3">_xll.BDP(D3&amp;" im equity","id isin")</f>
        <v>FR0014002H76</v>
      </c>
      <c r="G3" t="str" cm="1">
        <f t="array" ref="G3">_xll.BDP(A3&amp;" im equity","id isin")</f>
        <v>LU1646360971</v>
      </c>
    </row>
    <row r="4" spans="1:45" x14ac:dyDescent="0.25">
      <c r="A4" t="s">
        <v>58</v>
      </c>
      <c r="B4" t="str" cm="1">
        <f t="array" ref="B4">_xll.BDP(D4&amp;" im equity","fund geo focus")</f>
        <v>Global</v>
      </c>
      <c r="C4" t="str" cm="1">
        <f t="array" ref="C4">_xll.BDP(D4&amp;" im equity","short name")</f>
        <v>AM MSCI WE SL-US</v>
      </c>
      <c r="D4" s="1" t="s">
        <v>2</v>
      </c>
      <c r="F4" t="str" cm="1">
        <f t="array" ref="F4">_xll.BDP(D4&amp;" im equity","id isin")</f>
        <v>IE00016PSX47</v>
      </c>
      <c r="G4" t="str" cm="1">
        <f t="array" ref="G4">_xll.BDP(A4&amp;" im equity","id isin")</f>
        <v>IE00B4L5Y983</v>
      </c>
    </row>
    <row r="5" spans="1:45" x14ac:dyDescent="0.25">
      <c r="A5" t="s">
        <v>59</v>
      </c>
      <c r="B5" t="str" cm="1">
        <f t="array" ref="B5">_xll.BDP(D5&amp;" im equity","fund geo focus")</f>
        <v>Global</v>
      </c>
      <c r="C5" t="str" cm="1">
        <f t="array" ref="C5">_xll.BDP(D5&amp;" im equity","short name")</f>
        <v>VANG ESG EM D</v>
      </c>
      <c r="D5" s="1" t="s">
        <v>3</v>
      </c>
      <c r="F5" t="str" cm="1">
        <f t="array" ref="F5">_xll.BDP(D5&amp;" im equity","id isin")</f>
        <v>IE0001VXZTV7</v>
      </c>
      <c r="G5" t="str" cm="1">
        <f t="array" ref="G5">_xll.BDP(A5&amp;" im equity","id isin")</f>
        <v>LU1681045370</v>
      </c>
    </row>
    <row r="6" spans="1:45" x14ac:dyDescent="0.25">
      <c r="A6" t="s">
        <v>59</v>
      </c>
      <c r="B6" t="str" cm="1">
        <f t="array" ref="B6">_xll.BDP(D6&amp;" im equity","fund geo focus")</f>
        <v>Global</v>
      </c>
      <c r="C6" t="str" cm="1">
        <f t="array" ref="C6">_xll.BDP(D6&amp;" im equity","short name")</f>
        <v>ROBECO 3D EM</v>
      </c>
      <c r="D6" s="1" t="s">
        <v>4</v>
      </c>
      <c r="F6" t="str" cm="1">
        <f t="array" ref="F6">_xll.BDP(D6&amp;" im equity","id isin")</f>
        <v>IE0002Z12PN9</v>
      </c>
      <c r="G6" t="str" cm="1">
        <f t="array" ref="G6">_xll.BDP(A6&amp;" im equity","id isin")</f>
        <v>LU1681045370</v>
      </c>
    </row>
    <row r="7" spans="1:45" x14ac:dyDescent="0.25">
      <c r="A7" t="s">
        <v>58</v>
      </c>
      <c r="B7" t="str" cm="1">
        <f t="array" ref="B7">_xll.BDP(D7&amp;" im equity","fund geo focus")</f>
        <v>Global</v>
      </c>
      <c r="C7" t="str" cm="1">
        <f t="array" ref="C7">_xll.BDP(D7&amp;" im equity","short name")</f>
        <v>AMUNDI PRIME ACW</v>
      </c>
      <c r="D7" s="1" t="s">
        <v>5</v>
      </c>
      <c r="F7" t="str" cm="1">
        <f t="array" ref="F7">_xll.BDP(D7&amp;" im equity","id isin")</f>
        <v>IE0003XJA0J9</v>
      </c>
      <c r="G7" t="str" cm="1">
        <f t="array" ref="G7">_xll.BDP(A7&amp;" im equity","id isin")</f>
        <v>IE00B4L5Y983</v>
      </c>
    </row>
    <row r="8" spans="1:45" x14ac:dyDescent="0.25">
      <c r="A8" t="s">
        <v>60</v>
      </c>
      <c r="B8" t="str" cm="1">
        <f t="array" ref="B8">_xll.BDP(D8&amp;" im equity","fund geo focus")</f>
        <v>U.S.</v>
      </c>
      <c r="C8" t="str" cm="1">
        <f t="array" ref="C8">_xll.BDP(D8&amp;" im equity","short name")</f>
        <v>AMUNDI SP500 AEH</v>
      </c>
      <c r="D8" s="1" t="s">
        <v>6</v>
      </c>
      <c r="F8" t="str" cm="1">
        <f t="array" ref="F8">_xll.BDP(D8&amp;" im equity","id isin")</f>
        <v>IE00058MW3M8</v>
      </c>
      <c r="G8" t="str" cm="1">
        <f t="array" ref="G8">_xll.BDP(A8&amp;" im equity","id isin")</f>
        <v>LU1646360971</v>
      </c>
    </row>
    <row r="9" spans="1:45" x14ac:dyDescent="0.25">
      <c r="A9" t="s">
        <v>60</v>
      </c>
      <c r="B9" t="str" cm="1">
        <f t="array" ref="B9">_xll.BDP(D9&amp;" im equity","fund geo focus")</f>
        <v>European Region</v>
      </c>
      <c r="C9" t="str" cm="1">
        <f t="array" ref="C9">_xll.BDP(D9&amp;" im equity","short name")</f>
        <v>ROB 3D EUROPEAN</v>
      </c>
      <c r="D9" s="1" t="s">
        <v>7</v>
      </c>
      <c r="F9" t="str" cm="1">
        <f t="array" ref="F9">_xll.BDP(D9&amp;" im equity","id isin")</f>
        <v>IE0007WLHX89</v>
      </c>
      <c r="G9" t="str" cm="1">
        <f t="array" ref="G9">_xll.BDP(A9&amp;" im equity","id isin")</f>
        <v>LU1646360971</v>
      </c>
    </row>
    <row r="10" spans="1:45" x14ac:dyDescent="0.25">
      <c r="A10" t="s">
        <v>61</v>
      </c>
      <c r="B10" t="str" cm="1">
        <f t="array" ref="B10">_xll.BDP(D10&amp;" im equity","fund geo focus")</f>
        <v>U.S.</v>
      </c>
      <c r="C10" t="str" cm="1">
        <f t="array" ref="C10">_xll.BDP(D10&amp;" im equity","short name")</f>
        <v>HSBC USA ACTIVE</v>
      </c>
      <c r="D10" s="1" t="s">
        <v>8</v>
      </c>
      <c r="F10" t="str" cm="1">
        <f t="array" ref="F10">_xll.BDP(D10&amp;" im equity","id isin")</f>
        <v>IE0008JXFQK8</v>
      </c>
      <c r="G10" t="str" cm="1">
        <f t="array" ref="G10">_xll.BDP(A10&amp;" im equity","id isin")</f>
        <v>LU0496786574</v>
      </c>
    </row>
    <row r="11" spans="1:45" x14ac:dyDescent="0.25">
      <c r="B11" t="str" cm="1">
        <f t="array" ref="B11">_xll.BDP(D11&amp;" im equity","fund geo focus")</f>
        <v>#N/A N/A</v>
      </c>
      <c r="C11" t="str" cm="1">
        <f t="array" ref="C11">_xll.BDP(D11&amp;" im equity","short name")</f>
        <v>INF CAP PREI ETF</v>
      </c>
      <c r="D11" s="1" t="s">
        <v>9</v>
      </c>
      <c r="F11" t="str" cm="1">
        <f t="array" ref="F11">_xll.BDP(D11&amp;" im equity","id isin")</f>
        <v>IE0008LRGGP4</v>
      </c>
      <c r="G11" t="str" cm="1">
        <f t="array" ref="G11">_xll.BDP(A11&amp;" im equity","id isin")</f>
        <v>US4571531049</v>
      </c>
    </row>
    <row r="12" spans="1:45" x14ac:dyDescent="0.25">
      <c r="A12" t="s">
        <v>61</v>
      </c>
      <c r="B12" t="str" cm="1">
        <f t="array" ref="B12">_xll.BDP(D12&amp;" im equity","fund geo focus")</f>
        <v>U.S.</v>
      </c>
      <c r="C12" t="str" cm="1">
        <f t="array" ref="C12">_xll.BDP(D12&amp;" im equity","short name")</f>
        <v>AM M UE SE UE-DU</v>
      </c>
      <c r="D12" s="1" t="s">
        <v>10</v>
      </c>
      <c r="F12" t="str" cm="1">
        <f t="array" ref="F12">_xll.BDP(D12&amp;" im equity","id isin")</f>
        <v>IE0008TKP6O7</v>
      </c>
      <c r="G12" t="str" cm="1">
        <f t="array" ref="G12">_xll.BDP(A12&amp;" im equity","id isin")</f>
        <v>LU0496786574</v>
      </c>
    </row>
    <row r="13" spans="1:45" x14ac:dyDescent="0.25">
      <c r="A13" t="s">
        <v>63</v>
      </c>
      <c r="B13" t="str" cm="1">
        <f t="array" ref="B13">_xll.BDP(D13&amp;" im equity","fund geo focus")</f>
        <v>#N/A N/A</v>
      </c>
      <c r="C13" t="str" cm="1">
        <f t="array" ref="C13">_xll.BDP(D13&amp;" im equity","short name")</f>
        <v>GX SPX ABUFFER</v>
      </c>
      <c r="D13" s="1" t="s">
        <v>11</v>
      </c>
      <c r="F13" t="str" cm="1">
        <f t="array" ref="F13">_xll.BDP(D13&amp;" im equity","id isin")</f>
        <v>IE0009BM62P2</v>
      </c>
      <c r="G13" t="str" cm="1">
        <f t="array" ref="G13">_xll.BDP(A13&amp;" im equity","id isin")</f>
        <v>LU0496786574</v>
      </c>
    </row>
    <row r="14" spans="1:45" x14ac:dyDescent="0.25">
      <c r="A14" t="s">
        <v>58</v>
      </c>
      <c r="B14" t="str" cm="1">
        <f t="array" ref="B14">_xll.BDP(D14&amp;" im equity","fund geo focus")</f>
        <v>Global</v>
      </c>
      <c r="C14" t="str" cm="1">
        <f t="array" ref="C14">_xll.BDP(D14&amp;" im equity","short name")</f>
        <v>JPM GEM SRI PA</v>
      </c>
      <c r="D14" s="1" t="s">
        <v>12</v>
      </c>
      <c r="F14" t="str" cm="1">
        <f t="array" ref="F14">_xll.BDP(D14&amp;" im equity","id isin")</f>
        <v>IE000ANHU3J3</v>
      </c>
      <c r="G14" t="str" cm="1">
        <f t="array" ref="G14">_xll.BDP(A14&amp;" im equity","id isin")</f>
        <v>IE00B4L5Y983</v>
      </c>
    </row>
    <row r="15" spans="1:45" x14ac:dyDescent="0.25">
      <c r="A15" t="s">
        <v>58</v>
      </c>
      <c r="B15" t="str" cm="1">
        <f t="array" ref="B15">_xll.BDP(D15&amp;" im equity","fund geo focus")</f>
        <v>#N/A N/A</v>
      </c>
      <c r="C15" t="str" cm="1">
        <f t="array" ref="C15">_xll.BDP(D15&amp;" im equity","short name")</f>
        <v>AMUNDI MSCI WORL</v>
      </c>
      <c r="D15" s="1" t="s">
        <v>13</v>
      </c>
      <c r="F15" t="str" cm="1">
        <f t="array" ref="F15">_xll.BDP(D15&amp;" im equity","id isin")</f>
        <v>IE000CL68Z69</v>
      </c>
      <c r="G15" t="str" cm="1">
        <f t="array" ref="G15">_xll.BDP(A15&amp;" im equity","id isin")</f>
        <v>IE00B4L5Y983</v>
      </c>
    </row>
    <row r="16" spans="1:45" x14ac:dyDescent="0.25">
      <c r="A16" t="s">
        <v>62</v>
      </c>
      <c r="B16" t="str" cm="1">
        <f t="array" ref="B16">_xll.BDP(D16&amp;" im equity","fund geo focus")</f>
        <v>Taiwan</v>
      </c>
      <c r="C16" t="str" cm="1">
        <f t="array" ref="C16">_xll.BDP(D16&amp;" im equity","short name")</f>
        <v>FRK FTSE TWN ETF</v>
      </c>
      <c r="D16" s="1" t="s">
        <v>14</v>
      </c>
      <c r="F16" t="str" cm="1">
        <f t="array" ref="F16">_xll.BDP(D16&amp;" im equity","id isin")</f>
        <v>IE000CM02H85</v>
      </c>
      <c r="G16" t="str" cm="1">
        <f t="array" ref="G16">_xll.BDP(A16&amp;" im equity","id isin")</f>
        <v>IE00B3S1J086</v>
      </c>
    </row>
    <row r="17" spans="1:7" x14ac:dyDescent="0.25">
      <c r="A17" t="s">
        <v>63</v>
      </c>
      <c r="B17" t="str" cm="1">
        <f t="array" ref="B17">_xll.BDP(D17&amp;" im equity","fund geo focus")</f>
        <v>U.S.</v>
      </c>
      <c r="C17" t="str" cm="1">
        <f t="array" ref="C17">_xll.BDP(D17&amp;" im equity","short name")</f>
        <v>FT US MX BUF JUN</v>
      </c>
      <c r="D17" s="1" t="s">
        <v>15</v>
      </c>
      <c r="F17" t="str" cm="1">
        <f t="array" ref="F17">_xll.BDP(D17&amp;" im equity","id isin")</f>
        <v>IE000CO3P697</v>
      </c>
      <c r="G17" t="str" cm="1">
        <f t="array" ref="G17">_xll.BDP(A17&amp;" im equity","id isin")</f>
        <v>LU0496786574</v>
      </c>
    </row>
    <row r="18" spans="1:7" x14ac:dyDescent="0.25">
      <c r="A18" t="s">
        <v>57</v>
      </c>
      <c r="B18" t="str" cm="1">
        <f t="array" ref="B18">_xll.BDP(D18&amp;" im equity","fund geo focus")</f>
        <v>European Region</v>
      </c>
      <c r="C18" t="str" cm="1">
        <f t="array" ref="C18">_xll.BDP(D18&amp;" im equity","short name")</f>
        <v>FINECO AM ETF</v>
      </c>
      <c r="D18" s="1" t="s">
        <v>16</v>
      </c>
      <c r="F18" t="str" cm="1">
        <f t="array" ref="F18">_xll.BDP(D18&amp;" im equity","id isin")</f>
        <v>IE000DQNQS25</v>
      </c>
      <c r="G18" t="str" cm="1">
        <f t="array" ref="G18">_xll.BDP(A18&amp;" im equity","id isin")</f>
        <v>LU1646360971</v>
      </c>
    </row>
    <row r="19" spans="1:7" x14ac:dyDescent="0.25">
      <c r="A19" t="s">
        <v>63</v>
      </c>
      <c r="B19" t="str" cm="1">
        <f t="array" ref="B19">_xll.BDP(D19&amp;" im equity","fund geo focus")</f>
        <v>U.S.</v>
      </c>
      <c r="C19" t="str" cm="1">
        <f t="array" ref="C19">_xll.BDP(D19&amp;" im equity","short name")</f>
        <v>ISHARES US LCDB</v>
      </c>
      <c r="D19" s="1" t="s">
        <v>17</v>
      </c>
      <c r="F19" t="str" cm="1">
        <f t="array" ref="F19">_xll.BDP(D19&amp;" im equity","id isin")</f>
        <v>IE000EOFR2K5</v>
      </c>
      <c r="G19" t="str" cm="1">
        <f t="array" ref="G19">_xll.BDP(A19&amp;" im equity","id isin")</f>
        <v>LU0496786574</v>
      </c>
    </row>
    <row r="20" spans="1:7" x14ac:dyDescent="0.25">
      <c r="A20" t="s">
        <v>58</v>
      </c>
      <c r="B20" t="str" cm="1">
        <f t="array" ref="B20">_xll.BDP(D20&amp;" im equity","fund geo focus")</f>
        <v>Global</v>
      </c>
      <c r="C20" t="str" cm="1">
        <f t="array" ref="C20">_xll.BDP(D20&amp;" im equity","short name")</f>
        <v>GX SPX QTHEDGE U</v>
      </c>
      <c r="D20" s="1" t="s">
        <v>18</v>
      </c>
      <c r="F20" t="str" cm="1">
        <f t="array" ref="F20">_xll.BDP(D20&amp;" im equity","id isin")</f>
        <v>IE000EPX8KB7</v>
      </c>
      <c r="G20" t="str" cm="1">
        <f t="array" ref="G20">_xll.BDP(A20&amp;" im equity","id isin")</f>
        <v>IE00B4L5Y983</v>
      </c>
    </row>
    <row r="21" spans="1:7" x14ac:dyDescent="0.25">
      <c r="A21" t="s">
        <v>63</v>
      </c>
      <c r="B21" t="str" cm="1">
        <f t="array" ref="B21">_xll.BDP(D21&amp;" im equity","fund geo focus")</f>
        <v>#N/A N/A</v>
      </c>
      <c r="C21" t="str" cm="1">
        <f t="array" ref="C21">_xll.BDP(D21&amp;" im equity","short name")</f>
        <v>AM CR MSCI USA A</v>
      </c>
      <c r="D21" s="1" t="s">
        <v>19</v>
      </c>
      <c r="F21" t="str" cm="1">
        <f t="array" ref="F21">_xll.BDP(D21&amp;" im equity","id isin")</f>
        <v>IE000FSN19U2</v>
      </c>
      <c r="G21" t="str" cm="1">
        <f t="array" ref="G21">_xll.BDP(A21&amp;" im equity","id isin")</f>
        <v>LU0496786574</v>
      </c>
    </row>
    <row r="22" spans="1:7" x14ac:dyDescent="0.25">
      <c r="A22" t="s">
        <v>58</v>
      </c>
      <c r="B22" t="str" cm="1">
        <f t="array" ref="B22">_xll.BDP(D22&amp;" im equity","fund geo focus")</f>
        <v>Global</v>
      </c>
      <c r="C22" t="str" cm="1">
        <f t="array" ref="C22">_xll.BDP(D22&amp;" im equity","short name")</f>
        <v>GX SPX ATHEDGE</v>
      </c>
      <c r="D22" s="1" t="s">
        <v>20</v>
      </c>
      <c r="F22" t="str" cm="1">
        <f t="array" ref="F22">_xll.BDP(D22&amp;" im equity","id isin")</f>
        <v>IE000HGH8PV2</v>
      </c>
      <c r="G22" t="str" cm="1">
        <f t="array" ref="G22">_xll.BDP(A22&amp;" im equity","id isin")</f>
        <v>IE00B4L5Y983</v>
      </c>
    </row>
    <row r="23" spans="1:7" x14ac:dyDescent="0.25">
      <c r="A23" t="s">
        <v>57</v>
      </c>
      <c r="B23" t="str" cm="1">
        <f t="array" ref="B23">_xll.BDP(D23&amp;" im equity","fund geo focus")</f>
        <v>U.S.</v>
      </c>
      <c r="C23" t="str" cm="1">
        <f t="array" ref="C23">_xll.BDP(D23&amp;" im equity","short name")</f>
        <v>FIN AM DY H US E</v>
      </c>
      <c r="D23" s="1" t="s">
        <v>21</v>
      </c>
      <c r="F23" t="str" cm="1">
        <f t="array" ref="F23">_xll.BDP(D23&amp;" im equity","id isin")</f>
        <v>IE000I93LGG9</v>
      </c>
      <c r="G23" t="str" cm="1">
        <f t="array" ref="G23">_xll.BDP(A23&amp;" im equity","id isin")</f>
        <v>LU1646360971</v>
      </c>
    </row>
    <row r="24" spans="1:7" x14ac:dyDescent="0.25">
      <c r="A24" t="s">
        <v>57</v>
      </c>
      <c r="B24" t="str" cm="1">
        <f t="array" ref="B24">_xll.BDP(D24&amp;" im equity","fund geo focus")</f>
        <v>U.S.</v>
      </c>
      <c r="C24" t="str" cm="1">
        <f t="array" ref="C24">_xll.BDP(D24&amp;" im equity","short name")</f>
        <v>FIN AM DY H US E</v>
      </c>
      <c r="D24" s="1" t="s">
        <v>22</v>
      </c>
      <c r="F24" t="str" cm="1">
        <f t="array" ref="F24">_xll.BDP(D24&amp;" im equity","id isin")</f>
        <v>IE000JF2FLH9</v>
      </c>
      <c r="G24" t="str" cm="1">
        <f t="array" ref="G24">_xll.BDP(A24&amp;" im equity","id isin")</f>
        <v>LU1646360971</v>
      </c>
    </row>
    <row r="25" spans="1:7" x14ac:dyDescent="0.25">
      <c r="A25" t="s">
        <v>57</v>
      </c>
      <c r="B25" t="str" cm="1">
        <f t="array" ref="B25">_xll.BDP(D25&amp;" im equity","fund geo focus")</f>
        <v>#N/A N/A</v>
      </c>
      <c r="C25" t="str" cm="1">
        <f t="array" ref="C25">_xll.BDP(D25&amp;" im equity","short name")</f>
        <v>AMNDI MSCI W PA</v>
      </c>
      <c r="D25" s="1" t="s">
        <v>23</v>
      </c>
      <c r="F25" t="str" cm="1">
        <f t="array" ref="F25">_xll.BDP(D25&amp;" im equity","id isin")</f>
        <v>IE000K1P4V37</v>
      </c>
      <c r="G25" t="str" cm="1">
        <f t="array" ref="G25">_xll.BDP(A25&amp;" im equity","id isin")</f>
        <v>LU1646360971</v>
      </c>
    </row>
    <row r="26" spans="1:7" x14ac:dyDescent="0.25">
      <c r="A26" t="s">
        <v>58</v>
      </c>
      <c r="B26" t="str" cm="1">
        <f t="array" ref="B26">_xll.BDP(D26&amp;" im equity","fund geo focus")</f>
        <v>#N/A N/A</v>
      </c>
      <c r="C26" t="str" cm="1">
        <f t="array" ref="C26">_xll.BDP(D26&amp;" im equity","short name")</f>
        <v>H WO EQ IN Q ACT</v>
      </c>
      <c r="D26" s="1" t="s">
        <v>24</v>
      </c>
      <c r="F26" t="str" cm="1">
        <f t="array" ref="F26">_xll.BDP(D26&amp;" im equity","id isin")</f>
        <v>IE000KL4O2Z8</v>
      </c>
      <c r="G26" t="str" cm="1">
        <f t="array" ref="G26">_xll.BDP(A26&amp;" im equity","id isin")</f>
        <v>IE00B4L5Y983</v>
      </c>
    </row>
    <row r="27" spans="1:7" x14ac:dyDescent="0.25">
      <c r="A27" t="s">
        <v>64</v>
      </c>
      <c r="B27" t="str" cm="1">
        <f t="array" ref="B27">_xll.BDP(D27&amp;" im equity","fund geo focus")</f>
        <v>Global</v>
      </c>
      <c r="C27" t="str" cm="1">
        <f t="array" ref="C27">_xll.BDP(D27&amp;" im equity","short name")</f>
        <v>VANG ESG EM A</v>
      </c>
      <c r="D27" s="1" t="s">
        <v>25</v>
      </c>
      <c r="F27" t="str" cm="1">
        <f t="array" ref="F27">_xll.BDP(D27&amp;" im equity","id isin")</f>
        <v>IE000KPJJWM6</v>
      </c>
      <c r="G27" t="str" cm="1">
        <f t="array" ref="G27">_xll.BDP(A27&amp;" im equity","id isin")</f>
        <v>IE00B4L5Y983</v>
      </c>
    </row>
    <row r="28" spans="1:7" x14ac:dyDescent="0.25">
      <c r="A28" t="s">
        <v>61</v>
      </c>
      <c r="B28" t="str" cm="1">
        <f t="array" ref="B28">_xll.BDP(D28&amp;" im equity","fund geo focus")</f>
        <v>U.S.</v>
      </c>
      <c r="C28" t="str" cm="1">
        <f t="array" ref="C28">_xll.BDP(D28&amp;" im equity","short name")</f>
        <v>AMUNDI S&amp;P 500 A</v>
      </c>
      <c r="D28" s="1" t="s">
        <v>26</v>
      </c>
      <c r="F28" t="str" cm="1">
        <f t="array" ref="F28">_xll.BDP(D28&amp;" im equity","id isin")</f>
        <v>IE000KXCEXR3</v>
      </c>
      <c r="G28" t="str" cm="1">
        <f t="array" ref="G28">_xll.BDP(A28&amp;" im equity","id isin")</f>
        <v>LU0496786574</v>
      </c>
    </row>
    <row r="29" spans="1:7" x14ac:dyDescent="0.25">
      <c r="A29" t="s">
        <v>65</v>
      </c>
      <c r="B29" t="str" cm="1">
        <f t="array" ref="B29">_xll.BDP(D29&amp;" im equity","fund geo focus")</f>
        <v>Global</v>
      </c>
      <c r="C29" t="str" cm="1">
        <f t="array" ref="C29">_xll.BDP(D29&amp;" im equity","short name")</f>
        <v>GX SPX QBUFFER U</v>
      </c>
      <c r="D29" s="1" t="s">
        <v>27</v>
      </c>
      <c r="F29" t="str" cm="1">
        <f t="array" ref="F29">_xll.BDP(D29&amp;" im equity","id isin")</f>
        <v>IE000LSRKCB4</v>
      </c>
      <c r="G29" t="str" cm="1">
        <f t="array" ref="G29">_xll.BDP(A29&amp;" im equity","id isin")</f>
        <v>IE00B4L5Y983</v>
      </c>
    </row>
    <row r="30" spans="1:7" x14ac:dyDescent="0.25">
      <c r="A30" t="s">
        <v>63</v>
      </c>
      <c r="B30" t="str" cm="1">
        <f t="array" ref="B30">_xll.BDP(D30&amp;" im equity","fund geo focus")</f>
        <v>#N/A N/A</v>
      </c>
      <c r="C30" t="str" cm="1">
        <f t="array" ref="C30">_xll.BDP(D30&amp;" im equity","short name")</f>
        <v>AMUNDI MSCI NORT</v>
      </c>
      <c r="D30" s="1" t="s">
        <v>28</v>
      </c>
      <c r="F30" t="str" cm="1">
        <f t="array" ref="F30">_xll.BDP(D30&amp;" im equity","id isin")</f>
        <v>IE000MYCJA42</v>
      </c>
      <c r="G30" t="str" cm="1">
        <f t="array" ref="G30">_xll.BDP(A30&amp;" im equity","id isin")</f>
        <v>LU0496786574</v>
      </c>
    </row>
    <row r="31" spans="1:7" x14ac:dyDescent="0.25">
      <c r="A31" t="s">
        <v>65</v>
      </c>
      <c r="B31" t="str" cm="1">
        <f t="array" ref="B31">_xll.BDP(D31&amp;" im equity","fund geo focus")</f>
        <v>Global</v>
      </c>
      <c r="C31" t="str" cm="1">
        <f t="array" ref="C31">_xll.BDP(D31&amp;" im equity","short name")</f>
        <v>FINECO A WHD YLD</v>
      </c>
      <c r="D31" s="1" t="s">
        <v>29</v>
      </c>
      <c r="F31" t="str" cm="1">
        <f t="array" ref="F31">_xll.BDP(D31&amp;" im equity","id isin")</f>
        <v>IE000O359D06</v>
      </c>
      <c r="G31" t="str" cm="1">
        <f t="array" ref="G31">_xll.BDP(A31&amp;" im equity","id isin")</f>
        <v>IE00B4L5Y983</v>
      </c>
    </row>
    <row r="32" spans="1:7" x14ac:dyDescent="0.25">
      <c r="A32" t="s">
        <v>61</v>
      </c>
      <c r="B32" t="str" cm="1">
        <f t="array" ref="B32">_xll.BDP(D32&amp;" im equity","fund geo focus")</f>
        <v>U.S.</v>
      </c>
      <c r="C32" t="str" cm="1">
        <f t="array" ref="C32">_xll.BDP(D32&amp;" im equity","short name")</f>
        <v>AMUNDI S&amp;P 500 C</v>
      </c>
      <c r="D32" s="1" t="s">
        <v>30</v>
      </c>
      <c r="F32" t="str" cm="1">
        <f t="array" ref="F32">_xll.BDP(D32&amp;" im equity","id isin")</f>
        <v>IE000O5FBC47</v>
      </c>
      <c r="G32" t="str" cm="1">
        <f t="array" ref="G32">_xll.BDP(A32&amp;" im equity","id isin")</f>
        <v>LU0496786574</v>
      </c>
    </row>
    <row r="33" spans="1:7" x14ac:dyDescent="0.25">
      <c r="A33" t="s">
        <v>61</v>
      </c>
      <c r="B33" t="str" cm="1">
        <f t="array" ref="B33">_xll.BDP(D33&amp;" im equity","fund geo focus")</f>
        <v>U.S.</v>
      </c>
      <c r="C33" t="str" cm="1">
        <f t="array" ref="C33">_xll.BDP(D33&amp;" im equity","short name")</f>
        <v>FT US MD BF-NOV</v>
      </c>
      <c r="D33" s="1" t="s">
        <v>31</v>
      </c>
      <c r="F33" t="str" cm="1">
        <f t="array" ref="F33">_xll.BDP(D33&amp;" im equity","id isin")</f>
        <v>IE000OJ31JQ4</v>
      </c>
      <c r="G33" t="str" cm="1">
        <f t="array" ref="G33">_xll.BDP(A33&amp;" im equity","id isin")</f>
        <v>LU0496786574</v>
      </c>
    </row>
    <row r="34" spans="1:7" x14ac:dyDescent="0.25">
      <c r="A34" t="s">
        <v>61</v>
      </c>
      <c r="B34" t="str" cm="1">
        <f t="array" ref="B34">_xll.BDP(D34&amp;" im equity","fund geo focus")</f>
        <v>U.S.</v>
      </c>
      <c r="C34" t="str" cm="1">
        <f t="array" ref="C34">_xll.BDP(D34&amp;" im equity","short name")</f>
        <v>ISHR US LCMB SP</v>
      </c>
      <c r="D34" s="1" t="s">
        <v>32</v>
      </c>
      <c r="F34" t="str" cm="1">
        <f t="array" ref="F34">_xll.BDP(D34&amp;" im equity","id isin")</f>
        <v>IE000ON9GR24</v>
      </c>
      <c r="G34" t="str" cm="1">
        <f t="array" ref="G34">_xll.BDP(A34&amp;" im equity","id isin")</f>
        <v>LU0496786574</v>
      </c>
    </row>
    <row r="35" spans="1:7" x14ac:dyDescent="0.25">
      <c r="A35" t="s">
        <v>61</v>
      </c>
      <c r="B35" t="str" cm="1">
        <f t="array" ref="B35">_xll.BDP(D35&amp;" im equity","fund geo focus")</f>
        <v>U.S.</v>
      </c>
      <c r="C35" t="str" cm="1">
        <f t="array" ref="C35">_xll.BDP(D35&amp;" im equity","short name")</f>
        <v>FT US MD BF MAY</v>
      </c>
      <c r="D35" s="1" t="s">
        <v>33</v>
      </c>
      <c r="F35" t="str" cm="1">
        <f t="array" ref="F35">_xll.BDP(D35&amp;" im equity","id isin")</f>
        <v>IE000P0FL8E3</v>
      </c>
      <c r="G35" t="str" cm="1">
        <f t="array" ref="G35">_xll.BDP(A35&amp;" im equity","id isin")</f>
        <v>LU0496786574</v>
      </c>
    </row>
    <row r="36" spans="1:7" x14ac:dyDescent="0.25">
      <c r="A36" t="s">
        <v>65</v>
      </c>
      <c r="B36" t="str" cm="1">
        <f t="array" ref="B36">_xll.BDP(D36&amp;" im equity","fund geo focus")</f>
        <v>Global</v>
      </c>
      <c r="C36" t="str" cm="1">
        <f t="array" ref="C36">_xll.BDP(D36&amp;" im equity","short name")</f>
        <v>FINECO A WHD YLD</v>
      </c>
      <c r="D36" s="1" t="s">
        <v>34</v>
      </c>
      <c r="F36" t="str" cm="1">
        <f t="array" ref="F36">_xll.BDP(D36&amp;" im equity","id isin")</f>
        <v>IE000PZW9KB1</v>
      </c>
      <c r="G36" t="str" cm="1">
        <f t="array" ref="G36">_xll.BDP(A36&amp;" im equity","id isin")</f>
        <v>IE00B4L5Y983</v>
      </c>
    </row>
    <row r="37" spans="1:7" x14ac:dyDescent="0.25">
      <c r="A37" t="s">
        <v>65</v>
      </c>
      <c r="B37" t="str" cm="1">
        <f t="array" ref="B37">_xll.BDP(D37&amp;" im equity","fund geo focus")</f>
        <v>Global</v>
      </c>
      <c r="C37" t="str" cm="1">
        <f t="array" ref="C37">_xll.BDP(D37&amp;" im equity","short name")</f>
        <v>ROB 3D GLOBAL</v>
      </c>
      <c r="D37" s="1" t="s">
        <v>35</v>
      </c>
      <c r="F37" t="str" cm="1">
        <f t="array" ref="F37">_xll.BDP(D37&amp;" im equity","id isin")</f>
        <v>IE000Q8N7WY1</v>
      </c>
      <c r="G37" t="str" cm="1">
        <f t="array" ref="G37">_xll.BDP(A37&amp;" im equity","id isin")</f>
        <v>IE00B4L5Y983</v>
      </c>
    </row>
    <row r="38" spans="1:7" x14ac:dyDescent="0.25">
      <c r="A38" t="s">
        <v>65</v>
      </c>
      <c r="B38" t="str" cm="1">
        <f t="array" ref="B38">_xll.BDP(D38&amp;" im equity","fund geo focus")</f>
        <v>International</v>
      </c>
      <c r="C38" t="str" cm="1">
        <f t="array" ref="C38">_xll.BDP(D38&amp;" im equity","short name")</f>
        <v>A PRIM GBL ETF D</v>
      </c>
      <c r="D38" s="1" t="s">
        <v>36</v>
      </c>
      <c r="F38" t="str" cm="1">
        <f t="array" ref="F38">_xll.BDP(D38&amp;" im equity","id isin")</f>
        <v>IE000QIF5N15</v>
      </c>
      <c r="G38" t="str" cm="1">
        <f t="array" ref="G38">_xll.BDP(A38&amp;" im equity","id isin")</f>
        <v>IE00B4L5Y983</v>
      </c>
    </row>
    <row r="39" spans="1:7" x14ac:dyDescent="0.25">
      <c r="A39" t="s">
        <v>61</v>
      </c>
      <c r="B39" t="str" cm="1">
        <f t="array" ref="B39">_xll.BDP(D39&amp;" im equity","fund geo focus")</f>
        <v>U.S.</v>
      </c>
      <c r="C39" t="str" cm="1">
        <f t="array" ref="C39">_xll.BDP(D39&amp;" im equity","short name")</f>
        <v>AMUNDI MSCI USA</v>
      </c>
      <c r="D39" s="1" t="s">
        <v>37</v>
      </c>
      <c r="F39" t="str" cm="1">
        <f t="array" ref="F39">_xll.BDP(D39&amp;" im equity","id isin")</f>
        <v>IE000QQ8Z0D8</v>
      </c>
      <c r="G39" t="str" cm="1">
        <f t="array" ref="G39">_xll.BDP(A39&amp;" im equity","id isin")</f>
        <v>LU0496786574</v>
      </c>
    </row>
    <row r="40" spans="1:7" x14ac:dyDescent="0.25">
      <c r="A40" t="s">
        <v>65</v>
      </c>
      <c r="B40" t="str" cm="1">
        <f t="array" ref="B40">_xll.BDP(D40&amp;" im equity","fund geo focus")</f>
        <v>Global</v>
      </c>
      <c r="C40" t="str" cm="1">
        <f t="array" ref="C40">_xll.BDP(D40&amp;" im equity","short name")</f>
        <v>FINECO AM ACTIVE</v>
      </c>
      <c r="D40" s="1" t="s">
        <v>38</v>
      </c>
      <c r="F40" t="str" cm="1">
        <f t="array" ref="F40">_xll.BDP(D40&amp;" im equity","id isin")</f>
        <v>IE000RSD1ZW2</v>
      </c>
      <c r="G40" t="str" cm="1">
        <f t="array" ref="G40">_xll.BDP(A40&amp;" im equity","id isin")</f>
        <v>IE00B4L5Y983</v>
      </c>
    </row>
    <row r="41" spans="1:7" x14ac:dyDescent="0.25">
      <c r="A41" t="s">
        <v>65</v>
      </c>
      <c r="B41" t="str" cm="1">
        <f t="array" ref="B41">_xll.BDP(D41&amp;" im equity","fund geo focus")</f>
        <v>Global</v>
      </c>
      <c r="C41" t="str" cm="1">
        <f t="array" ref="C41">_xll.BDP(D41&amp;" im equity","short name")</f>
        <v>FINECO AM ACTIVE</v>
      </c>
      <c r="D41" s="1" t="s">
        <v>39</v>
      </c>
      <c r="F41" t="str" cm="1">
        <f t="array" ref="F41">_xll.BDP(D41&amp;" im equity","id isin")</f>
        <v>IE000UZQCBX5</v>
      </c>
      <c r="G41" t="str" cm="1">
        <f t="array" ref="G41">_xll.BDP(A41&amp;" im equity","id isin")</f>
        <v>IE00B4L5Y983</v>
      </c>
    </row>
    <row r="42" spans="1:7" x14ac:dyDescent="0.25">
      <c r="A42" t="s">
        <v>65</v>
      </c>
      <c r="B42" t="str" cm="1">
        <f t="array" ref="B42">_xll.BDP(D42&amp;" im equity","fund geo focus")</f>
        <v>Global</v>
      </c>
      <c r="C42" t="str" cm="1">
        <f t="array" ref="C42">_xll.BDP(D42&amp;" im equity","short name")</f>
        <v>X ACWI SCR 2C €</v>
      </c>
      <c r="D42" s="1" t="s">
        <v>40</v>
      </c>
      <c r="F42" t="str" cm="1">
        <f t="array" ref="F42">_xll.BDP(D42&amp;" im equity","id isin")</f>
        <v>IE000VXC51U5</v>
      </c>
      <c r="G42" t="str" cm="1">
        <f t="array" ref="G42">_xll.BDP(A42&amp;" im equity","id isin")</f>
        <v>IE00B4L5Y983</v>
      </c>
    </row>
    <row r="43" spans="1:7" x14ac:dyDescent="0.25">
      <c r="A43" t="s">
        <v>61</v>
      </c>
      <c r="B43" t="str" cm="1">
        <f t="array" ref="B43">_xll.BDP(D43&amp;" im equity","fund geo focus")</f>
        <v>U.S.</v>
      </c>
      <c r="C43" t="str" cm="1">
        <f t="array" ref="C43">_xll.BDP(D43&amp;" im equity","short name")</f>
        <v>ROB 3D US</v>
      </c>
      <c r="D43" s="1" t="s">
        <v>41</v>
      </c>
      <c r="F43" t="str" cm="1">
        <f t="array" ref="F43">_xll.BDP(D43&amp;" im equity","id isin")</f>
        <v>IE000XERHYF0</v>
      </c>
      <c r="G43" t="str" cm="1">
        <f t="array" ref="G43">_xll.BDP(A43&amp;" im equity","id isin")</f>
        <v>LU0496786574</v>
      </c>
    </row>
    <row r="44" spans="1:7" x14ac:dyDescent="0.25">
      <c r="A44" t="s">
        <v>60</v>
      </c>
      <c r="B44" t="str" cm="1">
        <f t="array" ref="B44">_xll.BDP(D44&amp;" im equity","fund geo focus")</f>
        <v>European Region</v>
      </c>
      <c r="C44" t="str" cm="1">
        <f t="array" ref="C44">_xll.BDP(D44&amp;" im equity","short name")</f>
        <v>FINECO AM ETF</v>
      </c>
      <c r="D44" s="1" t="s">
        <v>42</v>
      </c>
      <c r="F44" t="str" cm="1">
        <f t="array" ref="F44">_xll.BDP(D44&amp;" im equity","id isin")</f>
        <v>IE000ZHBBSR2</v>
      </c>
      <c r="G44" t="str" cm="1">
        <f t="array" ref="G44">_xll.BDP(A44&amp;" im equity","id isin")</f>
        <v>LU1646360971</v>
      </c>
    </row>
    <row r="45" spans="1:7" x14ac:dyDescent="0.25">
      <c r="A45" t="s">
        <v>65</v>
      </c>
      <c r="B45" t="str" cm="1">
        <f t="array" ref="B45">_xll.BDP(D45&amp;" im equity","fund geo focus")</f>
        <v>Global</v>
      </c>
      <c r="C45" t="str" cm="1">
        <f t="array" ref="C45">_xll.BDP(D45&amp;" im equity","short name")</f>
        <v>H WO EQ Q ACTIVE</v>
      </c>
      <c r="D45" s="1" t="s">
        <v>43</v>
      </c>
      <c r="F45" t="str" cm="1">
        <f t="array" ref="F45">_xll.BDP(D45&amp;" im equity","id isin")</f>
        <v>IE000ZURGSV2</v>
      </c>
      <c r="G45" t="str" cm="1">
        <f t="array" ref="G45">_xll.BDP(A45&amp;" im equity","id isin")</f>
        <v>IE00B4L5Y983</v>
      </c>
    </row>
    <row r="46" spans="1:7" x14ac:dyDescent="0.25">
      <c r="A46" t="s">
        <v>60</v>
      </c>
      <c r="B46" t="str" cm="1">
        <f t="array" ref="B46">_xll.BDP(D46&amp;" im equity","fund geo focus")</f>
        <v>Germany</v>
      </c>
      <c r="C46" t="str" cm="1">
        <f t="array" ref="C46">_xll.BDP(D46&amp;" im equity","short name")</f>
        <v>L&amp;G DAX 2X LONG</v>
      </c>
      <c r="D46" s="1" t="s">
        <v>44</v>
      </c>
      <c r="F46" t="str" cm="1">
        <f t="array" ref="F46">_xll.BDP(D46&amp;" im equity","id isin")</f>
        <v>IE00B4QNHH68</v>
      </c>
      <c r="G46" t="str" cm="1">
        <f t="array" ref="G46">_xll.BDP(A46&amp;" im equity","id isin")</f>
        <v>LU1646360971</v>
      </c>
    </row>
    <row r="47" spans="1:7" x14ac:dyDescent="0.25">
      <c r="A47" t="s">
        <v>60</v>
      </c>
      <c r="B47" t="str" cm="1">
        <f t="array" ref="B47">_xll.BDP(D47&amp;" im equity","fund geo focus")</f>
        <v>Germany</v>
      </c>
      <c r="C47" t="str" cm="1">
        <f t="array" ref="C47">_xll.BDP(D47&amp;" im equity","short name")</f>
        <v>L&amp;G DAX 2XSHORT</v>
      </c>
      <c r="D47" s="1" t="s">
        <v>45</v>
      </c>
      <c r="F47" t="str" cm="1">
        <f t="array" ref="F47">_xll.BDP(D47&amp;" im equity","id isin")</f>
        <v>IE00B4QNHZ41</v>
      </c>
      <c r="G47" t="str" cm="1">
        <f t="array" ref="G47">_xll.BDP(A47&amp;" im equity","id isin")</f>
        <v>LU1646360971</v>
      </c>
    </row>
    <row r="48" spans="1:7" x14ac:dyDescent="0.25">
      <c r="A48" t="s">
        <v>65</v>
      </c>
      <c r="B48" t="str" cm="1">
        <f t="array" ref="B48">_xll.BDP(D48&amp;" im equity","fund geo focus")</f>
        <v>Global</v>
      </c>
      <c r="C48" t="str" cm="1">
        <f t="array" ref="C48">_xll.BDP(D48&amp;" im equity","short name")</f>
        <v>VANG LS 60% ACC</v>
      </c>
      <c r="D48" s="1" t="s">
        <v>46</v>
      </c>
      <c r="F48" t="str" cm="1">
        <f t="array" ref="F48">_xll.BDP(D48&amp;" im equity","id isin")</f>
        <v>IE00BMVB5P51</v>
      </c>
      <c r="G48" t="str" cm="1">
        <f t="array" ref="G48">_xll.BDP(A48&amp;" im equity","id isin")</f>
        <v>IE00B4L5Y983</v>
      </c>
    </row>
    <row r="49" spans="1:7" x14ac:dyDescent="0.25">
      <c r="A49" t="s">
        <v>65</v>
      </c>
      <c r="B49" t="str" cm="1">
        <f t="array" ref="B49">_xll.BDP(D49&amp;" im equity","fund geo focus")</f>
        <v>Global</v>
      </c>
      <c r="C49" t="str" cm="1">
        <f t="array" ref="C49">_xll.BDP(D49&amp;" im equity","short name")</f>
        <v>VANG LS 60% INC</v>
      </c>
      <c r="D49" s="1" t="s">
        <v>47</v>
      </c>
      <c r="F49" t="str" cm="1">
        <f t="array" ref="F49">_xll.BDP(D49&amp;" im equity","id isin")</f>
        <v>IE00BMVB5Q68</v>
      </c>
      <c r="G49" t="str" cm="1">
        <f t="array" ref="G49">_xll.BDP(A49&amp;" im equity","id isin")</f>
        <v>IE00B4L5Y983</v>
      </c>
    </row>
    <row r="50" spans="1:7" x14ac:dyDescent="0.25">
      <c r="A50" t="s">
        <v>65</v>
      </c>
      <c r="B50" t="str" cm="1">
        <f t="array" ref="B50">_xll.BDP(D50&amp;" im equity","fund geo focus")</f>
        <v>Global</v>
      </c>
      <c r="C50" t="str" cm="1">
        <f t="array" ref="C50">_xll.BDP(D50&amp;" im equity","short name")</f>
        <v>VANG LS 80% ACC</v>
      </c>
      <c r="D50" s="1" t="s">
        <v>48</v>
      </c>
      <c r="F50" t="str" cm="1">
        <f t="array" ref="F50">_xll.BDP(D50&amp;" im equity","id isin")</f>
        <v>IE00BMVB5R75</v>
      </c>
      <c r="G50" t="str" cm="1">
        <f t="array" ref="G50">_xll.BDP(A50&amp;" im equity","id isin")</f>
        <v>IE00B4L5Y983</v>
      </c>
    </row>
    <row r="51" spans="1:7" x14ac:dyDescent="0.25">
      <c r="A51" t="s">
        <v>65</v>
      </c>
      <c r="B51" t="str" cm="1">
        <f t="array" ref="B51">_xll.BDP(D51&amp;" im equity","fund geo focus")</f>
        <v>Global</v>
      </c>
      <c r="C51" t="str" cm="1">
        <f t="array" ref="C51">_xll.BDP(D51&amp;" im equity","short name")</f>
        <v>VANG LS 80% INC</v>
      </c>
      <c r="D51" s="1" t="s">
        <v>49</v>
      </c>
      <c r="F51" t="str" cm="1">
        <f t="array" ref="F51">_xll.BDP(D51&amp;" im equity","id isin")</f>
        <v>IE00BMVB5S82</v>
      </c>
      <c r="G51" t="str" cm="1">
        <f t="array" ref="G51">_xll.BDP(A51&amp;" im equity","id isin")</f>
        <v>IE00B4L5Y983</v>
      </c>
    </row>
    <row r="52" spans="1:7" x14ac:dyDescent="0.25">
      <c r="A52" t="s">
        <v>65</v>
      </c>
      <c r="B52" t="str" cm="1">
        <f t="array" ref="B52">_xll.BDP(D52&amp;" im equity","fund geo focus")</f>
        <v>Global</v>
      </c>
      <c r="C52" t="str" cm="1">
        <f t="array" ref="C52">_xll.BDP(D52&amp;" im equity","short name")</f>
        <v>UBS MSCI ACWI H€</v>
      </c>
      <c r="D52" s="1" t="s">
        <v>50</v>
      </c>
      <c r="F52" t="str" cm="1">
        <f t="array" ref="F52">_xll.BDP(D52&amp;" im equity","id isin")</f>
        <v>IE00BYM11K57</v>
      </c>
      <c r="G52" t="str" cm="1">
        <f t="array" ref="G52">_xll.BDP(A52&amp;" im equity","id isin")</f>
        <v>IE00B4L5Y983</v>
      </c>
    </row>
    <row r="53" spans="1:7" x14ac:dyDescent="0.25">
      <c r="A53" t="s">
        <v>60</v>
      </c>
      <c r="B53" t="str" cm="1">
        <f t="array" ref="B53">_xll.BDP(D53&amp;" im equity","fund geo focus")</f>
        <v>Eurozone</v>
      </c>
      <c r="C53" t="str" cm="1">
        <f t="array" ref="C53">_xll.BDP(D53&amp;" im equity","short name")</f>
        <v>X €STX50 SHSW 1C</v>
      </c>
      <c r="D53" s="1" t="s">
        <v>51</v>
      </c>
      <c r="F53" t="str" cm="1">
        <f t="array" ref="F53">_xll.BDP(D53&amp;" im equity","id isin")</f>
        <v>LU0292106753</v>
      </c>
      <c r="G53" t="str" cm="1">
        <f t="array" ref="G53">_xll.BDP(A53&amp;" im equity","id isin")</f>
        <v>LU1646360971</v>
      </c>
    </row>
    <row r="54" spans="1:7" x14ac:dyDescent="0.25">
      <c r="A54" t="s">
        <v>66</v>
      </c>
      <c r="B54" t="str" cm="1">
        <f t="array" ref="B54">_xll.BDP(D54&amp;" im equity","fund geo focus")</f>
        <v>Asian Pacific Region</v>
      </c>
      <c r="C54" t="str" cm="1">
        <f t="array" ref="C54">_xll.BDP(D54&amp;" im equity","short name")</f>
        <v>X EM ASI SCR 1C</v>
      </c>
      <c r="D54" s="1" t="s">
        <v>52</v>
      </c>
      <c r="F54" t="str" cm="1">
        <f t="array" ref="F54">_xll.BDP(D54&amp;" im equity","id isin")</f>
        <v>LU0292107991</v>
      </c>
      <c r="G54" t="str" cm="1">
        <f t="array" ref="G54">_xll.BDP(A54&amp;" im equity","id isin")</f>
        <v>LU1681045370</v>
      </c>
    </row>
    <row r="55" spans="1:7" x14ac:dyDescent="0.25">
      <c r="A55" t="s">
        <v>67</v>
      </c>
      <c r="B55" t="str" cm="1">
        <f t="array" ref="B55">_xll.BDP(D55&amp;" im equity","fund geo focus")</f>
        <v>India</v>
      </c>
      <c r="C55" t="str" cm="1">
        <f t="array" ref="C55">_xll.BDP(D55&amp;" im equity","short name")</f>
        <v>X NIFTY 50 SW 1C</v>
      </c>
      <c r="D55" s="1" t="s">
        <v>53</v>
      </c>
      <c r="F55" t="str" cm="1">
        <f t="array" ref="F55">_xll.BDP(D55&amp;" im equity","id isin")</f>
        <v>LU0292109690</v>
      </c>
      <c r="G55" t="str" cm="1">
        <f t="array" ref="G55">_xll.BDP(A55&amp;" im equity","id isin")</f>
        <v>FR0010361683</v>
      </c>
    </row>
    <row r="56" spans="1:7" x14ac:dyDescent="0.25">
      <c r="A56" t="s">
        <v>60</v>
      </c>
      <c r="B56" t="str" cm="1">
        <f t="array" ref="B56">_xll.BDP(D56&amp;" im equity","fund geo focus")</f>
        <v>European Region</v>
      </c>
      <c r="C56" t="str" cm="1">
        <f t="array" ref="C56">_xll.BDP(D56&amp;" im equity","short name")</f>
        <v>OSSIAM STOXX EUR</v>
      </c>
      <c r="D56" s="1" t="s">
        <v>54</v>
      </c>
      <c r="F56" t="str" cm="1">
        <f t="array" ref="F56">_xll.BDP(D56&amp;" im equity","id isin")</f>
        <v>LU0599613147</v>
      </c>
      <c r="G56" t="str" cm="1">
        <f t="array" ref="G56">_xll.BDP(A56&amp;" im equity","id isin")</f>
        <v>LU1646360971</v>
      </c>
    </row>
    <row r="57" spans="1:7" x14ac:dyDescent="0.25">
      <c r="A57" t="s">
        <v>60</v>
      </c>
      <c r="B57" t="str" cm="1">
        <f t="array" ref="B57">_xll.BDP(D57&amp;" im equity","fund geo focus")</f>
        <v>European Region</v>
      </c>
      <c r="C57" t="str" cm="1">
        <f t="array" ref="C57">_xll.BDP(D57&amp;" im equity","short name")</f>
        <v>INDEXIQ EUROPE</v>
      </c>
      <c r="D57" s="1" t="s">
        <v>55</v>
      </c>
      <c r="F57" t="str" cm="1">
        <f t="array" ref="F57">_xll.BDP(D57&amp;" im equity","id isin")</f>
        <v>LU1603795458</v>
      </c>
      <c r="G57" t="str" cm="1">
        <f t="array" ref="G57">_xll.BDP(A57&amp;" im equity","id isin")</f>
        <v>LU1646360971</v>
      </c>
    </row>
    <row r="58" spans="1:7" x14ac:dyDescent="0.25">
      <c r="A58" t="s">
        <v>65</v>
      </c>
      <c r="B58" t="str" cm="1">
        <f t="array" ref="B58">_xll.BDP(D58&amp;" im equity","fund geo focus")</f>
        <v>Global</v>
      </c>
      <c r="C58" t="str" cm="1">
        <f t="array" ref="C58">_xll.BDP(D58&amp;" im equity","short name")</f>
        <v>SC MACWRLD X 1C</v>
      </c>
      <c r="D58" s="1" t="s">
        <v>56</v>
      </c>
      <c r="F58" t="str" cm="1">
        <f t="array" ref="F58">_xll.BDP(D58&amp;" im equity","id isin")</f>
        <v>LU2903252349</v>
      </c>
      <c r="G58" t="str" cm="1">
        <f t="array" ref="G58">_xll.BDP(A58&amp;" im equity","id isin")</f>
        <v>IE00B4L5Y983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Santoriello Fabrizio</cp:lastModifiedBy>
  <dcterms:created xsi:type="dcterms:W3CDTF">2026-03-02T13:22:41Z</dcterms:created>
  <dcterms:modified xsi:type="dcterms:W3CDTF">2026-03-02T14:08:46Z</dcterms:modified>
</cp:coreProperties>
</file>